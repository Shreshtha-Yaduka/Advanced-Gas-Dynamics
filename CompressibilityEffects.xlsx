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s\Sem 7\Adv Gas Dynamics\"/>
    </mc:Choice>
  </mc:AlternateContent>
  <xr:revisionPtr revIDLastSave="0" documentId="8_{11A6F634-76DA-4604-8C99-C66392AEF7EB}" xr6:coauthVersionLast="47" xr6:coauthVersionMax="47" xr10:uidLastSave="{00000000-0000-0000-0000-000000000000}"/>
  <bookViews>
    <workbookView xWindow="-108" yWindow="-108" windowWidth="23256" windowHeight="12456" xr2:uid="{94A6E935-1DA6-437E-80B6-6D994208DFF0}"/>
  </bookViews>
  <sheets>
    <sheet name="Sheet1" sheetId="1" r:id="rId1"/>
    <sheet name="Sheet3 (2)" sheetId="4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4" l="1"/>
  <c r="E20" i="4" s="1"/>
  <c r="C20" i="4"/>
  <c r="D19" i="4"/>
  <c r="E19" i="4" s="1"/>
  <c r="C19" i="4"/>
  <c r="D18" i="4"/>
  <c r="E18" i="4" s="1"/>
  <c r="C18" i="4"/>
  <c r="D17" i="4"/>
  <c r="E17" i="4" s="1"/>
  <c r="C17" i="4"/>
  <c r="D16" i="4"/>
  <c r="E16" i="4" s="1"/>
  <c r="C16" i="4"/>
  <c r="D15" i="4"/>
  <c r="E15" i="4" s="1"/>
  <c r="C15" i="4"/>
  <c r="D14" i="4"/>
  <c r="E14" i="4" s="1"/>
  <c r="C14" i="4"/>
  <c r="D13" i="4"/>
  <c r="E13" i="4" s="1"/>
  <c r="C13" i="4"/>
  <c r="D12" i="4"/>
  <c r="E12" i="4" s="1"/>
  <c r="C12" i="4"/>
  <c r="D11" i="4"/>
  <c r="E11" i="4" s="1"/>
  <c r="C11" i="4"/>
  <c r="D10" i="4"/>
  <c r="E10" i="4" s="1"/>
  <c r="C10" i="4"/>
  <c r="D9" i="4"/>
  <c r="E9" i="4" s="1"/>
  <c r="C9" i="4"/>
  <c r="D8" i="4"/>
  <c r="E8" i="4" s="1"/>
  <c r="C8" i="4"/>
  <c r="D7" i="4"/>
  <c r="E7" i="4" s="1"/>
  <c r="C7" i="4"/>
  <c r="D6" i="4"/>
  <c r="E6" i="4" s="1"/>
  <c r="C6" i="4"/>
  <c r="D5" i="4"/>
  <c r="E5" i="4" s="1"/>
  <c r="C5" i="4"/>
  <c r="D4" i="4"/>
  <c r="E4" i="4" s="1"/>
  <c r="C4" i="4"/>
  <c r="D3" i="4"/>
  <c r="E3" i="4" s="1"/>
  <c r="C3" i="4"/>
  <c r="D2" i="4"/>
  <c r="E2" i="4" s="1"/>
  <c r="C2" i="4"/>
  <c r="C3" i="3"/>
  <c r="D3" i="3"/>
  <c r="E3" i="3"/>
  <c r="C4" i="3"/>
  <c r="D4" i="3"/>
  <c r="E4" i="3"/>
  <c r="C5" i="3"/>
  <c r="D5" i="3"/>
  <c r="E5" i="3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" i="3"/>
  <c r="D2" i="3"/>
  <c r="E2" i="3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D2" i="1"/>
  <c r="E20" i="1"/>
  <c r="E2" i="1"/>
</calcChain>
</file>

<file path=xl/sharedStrings.xml><?xml version="1.0" encoding="utf-8"?>
<sst xmlns="http://schemas.openxmlformats.org/spreadsheetml/2006/main" count="15" uniqueCount="7">
  <si>
    <t>Ma</t>
  </si>
  <si>
    <t>% change in density</t>
  </si>
  <si>
    <t>d rho / rho</t>
  </si>
  <si>
    <t>d V/ V</t>
  </si>
  <si>
    <t>% change in V</t>
  </si>
  <si>
    <t>d u/ u</t>
  </si>
  <si>
    <t>% change in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</si>
</sst>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775371828521436E-2"/>
          <c:y val="0.17171296296296298"/>
          <c:w val="0.8680719597550306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1E-3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0.3</c:v>
                </c:pt>
                <c:pt idx="7">
                  <c:v>0.4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  <c:pt idx="12">
                  <c:v>0.9</c:v>
                </c:pt>
                <c:pt idx="13">
                  <c:v>1</c:v>
                </c:pt>
                <c:pt idx="14">
                  <c:v>1.2</c:v>
                </c:pt>
                <c:pt idx="15">
                  <c:v>1.5</c:v>
                </c:pt>
                <c:pt idx="16">
                  <c:v>2</c:v>
                </c:pt>
                <c:pt idx="17">
                  <c:v>2.5</c:v>
                </c:pt>
                <c:pt idx="18">
                  <c:v>3</c:v>
                </c:pt>
              </c:numCache>
            </c:numRef>
          </c:xVal>
          <c:yVal>
            <c:numRef>
              <c:f>Sheet1!$E$2:$E$20</c:f>
              <c:numCache>
                <c:formatCode>General</c:formatCode>
                <c:ptCount val="19"/>
                <c:pt idx="0">
                  <c:v>1000000</c:v>
                </c:pt>
                <c:pt idx="1">
                  <c:v>10000</c:v>
                </c:pt>
                <c:pt idx="2">
                  <c:v>2500</c:v>
                </c:pt>
                <c:pt idx="3">
                  <c:v>400</c:v>
                </c:pt>
                <c:pt idx="4">
                  <c:v>100</c:v>
                </c:pt>
                <c:pt idx="5">
                  <c:v>25</c:v>
                </c:pt>
                <c:pt idx="6">
                  <c:v>11.111111111111112</c:v>
                </c:pt>
                <c:pt idx="7">
                  <c:v>6.25</c:v>
                </c:pt>
                <c:pt idx="8">
                  <c:v>4</c:v>
                </c:pt>
                <c:pt idx="9">
                  <c:v>2.7777777777777781</c:v>
                </c:pt>
                <c:pt idx="10">
                  <c:v>2.0408163265306123</c:v>
                </c:pt>
                <c:pt idx="11">
                  <c:v>1.5625</c:v>
                </c:pt>
                <c:pt idx="12">
                  <c:v>1.2345679012345678</c:v>
                </c:pt>
                <c:pt idx="13">
                  <c:v>1</c:v>
                </c:pt>
                <c:pt idx="14">
                  <c:v>0.69444444444444453</c:v>
                </c:pt>
                <c:pt idx="15">
                  <c:v>0.44444444444444442</c:v>
                </c:pt>
                <c:pt idx="16">
                  <c:v>0.25</c:v>
                </c:pt>
                <c:pt idx="17">
                  <c:v>0.16</c:v>
                </c:pt>
                <c:pt idx="18">
                  <c:v>0.1111111111111111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E1-49DC-BF13-0DD761F8C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665584"/>
        <c:axId val="907870512"/>
      </c:scatterChart>
      <c:valAx>
        <c:axId val="105066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870512"/>
        <c:crosses val="autoZero"/>
        <c:crossBetween val="midCat"/>
      </c:valAx>
      <c:valAx>
        <c:axId val="90787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66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'Sheet3 (2)'!$A$2:$A$14</c:f>
              <c:numCache>
                <c:formatCode>General</c:formatCode>
                <c:ptCount val="13"/>
                <c:pt idx="0">
                  <c:v>1E-3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0.3</c:v>
                </c:pt>
                <c:pt idx="7">
                  <c:v>0.4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  <c:pt idx="12">
                  <c:v>0.9</c:v>
                </c:pt>
              </c:numCache>
            </c:numRef>
          </c:xVal>
          <c:yVal>
            <c:numRef>
              <c:f>'Sheet3 (2)'!$E$2:$E$14</c:f>
              <c:numCache>
                <c:formatCode>General</c:formatCode>
                <c:ptCount val="13"/>
                <c:pt idx="0">
                  <c:v>9.9999999999999995E-7</c:v>
                </c:pt>
                <c:pt idx="1">
                  <c:v>1.0000000000000002E-4</c:v>
                </c:pt>
                <c:pt idx="2">
                  <c:v>4.0000000000000007E-4</c:v>
                </c:pt>
                <c:pt idx="3">
                  <c:v>2.5000000000000005E-3</c:v>
                </c:pt>
                <c:pt idx="4">
                  <c:v>1.0000000000000002E-2</c:v>
                </c:pt>
                <c:pt idx="5">
                  <c:v>4.0000000000000008E-2</c:v>
                </c:pt>
                <c:pt idx="6">
                  <c:v>0.09</c:v>
                </c:pt>
                <c:pt idx="7">
                  <c:v>0.16000000000000003</c:v>
                </c:pt>
                <c:pt idx="8">
                  <c:v>0.25</c:v>
                </c:pt>
                <c:pt idx="9">
                  <c:v>0.36</c:v>
                </c:pt>
                <c:pt idx="10">
                  <c:v>0.49</c:v>
                </c:pt>
                <c:pt idx="11">
                  <c:v>0.64000000000000012</c:v>
                </c:pt>
                <c:pt idx="12">
                  <c:v>0.81000000000000016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30-48AD-B290-5424B281D5B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'Sheet3 (2)'!$A$15:$A$20</c:f>
              <c:numCache>
                <c:formatCode>General</c:formatCode>
                <c:ptCount val="6"/>
                <c:pt idx="0">
                  <c:v>1</c:v>
                </c:pt>
                <c:pt idx="1">
                  <c:v>1.2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'Sheet3 (2)'!$E$15:$E$20</c:f>
              <c:numCache>
                <c:formatCode>General</c:formatCode>
                <c:ptCount val="6"/>
                <c:pt idx="0">
                  <c:v>1</c:v>
                </c:pt>
                <c:pt idx="1">
                  <c:v>1.44</c:v>
                </c:pt>
                <c:pt idx="2">
                  <c:v>2.25</c:v>
                </c:pt>
                <c:pt idx="3">
                  <c:v>4</c:v>
                </c:pt>
                <c:pt idx="4">
                  <c:v>6.25</c:v>
                </c:pt>
                <c:pt idx="5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30-48AD-B290-5424B281D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932656"/>
        <c:axId val="1087486832"/>
      </c:scatterChart>
      <c:valAx>
        <c:axId val="107793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86832"/>
        <c:crosses val="autoZero"/>
        <c:crossBetween val="midCat"/>
      </c:valAx>
      <c:valAx>
        <c:axId val="108748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93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Sheet3!$A$2:$A$14</c:f>
              <c:numCache>
                <c:formatCode>General</c:formatCode>
                <c:ptCount val="13"/>
                <c:pt idx="0">
                  <c:v>1E-3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0.3</c:v>
                </c:pt>
                <c:pt idx="7">
                  <c:v>0.4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  <c:pt idx="12">
                  <c:v>0.9</c:v>
                </c:pt>
              </c:numCache>
            </c:numRef>
          </c:xVal>
          <c:yVal>
            <c:numRef>
              <c:f>Sheet3!$E$2:$E$14</c:f>
              <c:numCache>
                <c:formatCode>General</c:formatCode>
                <c:ptCount val="13"/>
                <c:pt idx="0">
                  <c:v>5.9999999999999993E-6</c:v>
                </c:pt>
                <c:pt idx="1">
                  <c:v>6.0000000000000006E-4</c:v>
                </c:pt>
                <c:pt idx="2">
                  <c:v>2.4000000000000002E-3</c:v>
                </c:pt>
                <c:pt idx="3">
                  <c:v>1.5000000000000001E-2</c:v>
                </c:pt>
                <c:pt idx="4">
                  <c:v>6.0000000000000005E-2</c:v>
                </c:pt>
                <c:pt idx="5">
                  <c:v>0.24000000000000002</c:v>
                </c:pt>
                <c:pt idx="6">
                  <c:v>0.53999999999999992</c:v>
                </c:pt>
                <c:pt idx="7">
                  <c:v>0.96000000000000008</c:v>
                </c:pt>
                <c:pt idx="8">
                  <c:v>1.5</c:v>
                </c:pt>
                <c:pt idx="9">
                  <c:v>2.1599999999999997</c:v>
                </c:pt>
                <c:pt idx="10">
                  <c:v>2.9399999999999995</c:v>
                </c:pt>
                <c:pt idx="11">
                  <c:v>3.8400000000000003</c:v>
                </c:pt>
                <c:pt idx="12">
                  <c:v>4.8600000000000003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B2-47C5-BDB7-E4825A33E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100640"/>
        <c:axId val="1087474352"/>
      </c:scatterChart>
      <c:valAx>
        <c:axId val="105510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74352"/>
        <c:crosses val="autoZero"/>
        <c:crossBetween val="midCat"/>
      </c:valAx>
      <c:valAx>
        <c:axId val="108747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0064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Sheet3!$A$15:$A$20</c:f>
              <c:numCache>
                <c:formatCode>General</c:formatCode>
                <c:ptCount val="6"/>
                <c:pt idx="0">
                  <c:v>1</c:v>
                </c:pt>
                <c:pt idx="1">
                  <c:v>1.2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Sheet3!$E$15:$E$20</c:f>
              <c:numCache>
                <c:formatCode>General</c:formatCode>
                <c:ptCount val="6"/>
                <c:pt idx="0">
                  <c:v>6</c:v>
                </c:pt>
                <c:pt idx="1">
                  <c:v>8.6399999999999988</c:v>
                </c:pt>
                <c:pt idx="2">
                  <c:v>13.5</c:v>
                </c:pt>
                <c:pt idx="3">
                  <c:v>24</c:v>
                </c:pt>
                <c:pt idx="4">
                  <c:v>37.5</c:v>
                </c:pt>
                <c:pt idx="5">
                  <c:v>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0A-452F-8E9E-6D089394D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097856"/>
        <c:axId val="1087432112"/>
      </c:scatterChart>
      <c:valAx>
        <c:axId val="105509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32112"/>
        <c:crosses val="autoZero"/>
        <c:crossBetween val="midCat"/>
      </c:valAx>
      <c:valAx>
        <c:axId val="108743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09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5</xdr:row>
      <xdr:rowOff>0</xdr:rowOff>
    </xdr:from>
    <xdr:to>
      <xdr:col>14</xdr:col>
      <xdr:colOff>388620</xdr:colOff>
      <xdr:row>18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E46A35-0022-0B9D-B4FB-D9A0C70F9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34290</xdr:rowOff>
    </xdr:from>
    <xdr:to>
      <xdr:col>15</xdr:col>
      <xdr:colOff>228600</xdr:colOff>
      <xdr:row>15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43DEB-08BE-40A8-B926-95001CFFD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469725</xdr:colOff>
      <xdr:row>4</xdr:row>
      <xdr:rowOff>100209</xdr:rowOff>
    </xdr:from>
    <xdr:to>
      <xdr:col>15</xdr:col>
      <xdr:colOff>198328</xdr:colOff>
      <xdr:row>16</xdr:row>
      <xdr:rowOff>25053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FD6204-91A3-DEB2-EA55-332497679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516194</xdr:colOff>
      <xdr:row>16</xdr:row>
      <xdr:rowOff>136016</xdr:rowOff>
    </xdr:from>
    <xdr:to>
      <xdr:col>15</xdr:col>
      <xdr:colOff>237613</xdr:colOff>
      <xdr:row>31</xdr:row>
      <xdr:rowOff>175345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0DBFEF-F3DF-B8F7-0948-701599DF1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0753-3276-4849-91FA-35C67FD984C2}">
  <dimension ref="A1:E20"/>
  <sheetViews>
    <sheetView tabSelected="1" workbookViewId="0">
      <selection activeCell="G22" sqref="G22"/>
    </sheetView>
  </sheetViews>
  <sheetFormatPr defaultRowHeight="14.4" x14ac:dyDescent="0.3"/>
  <cols>
    <col min="2" max="2" width="18.21875" customWidth="1"/>
    <col min="3" max="3" width="10.5546875" customWidth="1"/>
    <col min="4" max="4" width="8" customWidth="1"/>
    <col min="5" max="5" width="14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3">
      <c r="A2">
        <v>1E-3</v>
      </c>
      <c r="B2">
        <v>1</v>
      </c>
      <c r="C2">
        <v>0.01</v>
      </c>
      <c r="D2">
        <f xml:space="preserve"> -1/A2/A2*C2</f>
        <v>-10000</v>
      </c>
      <c r="E2">
        <f>ABS(D2*100)</f>
        <v>1000000</v>
      </c>
    </row>
    <row r="3" spans="1:5" x14ac:dyDescent="0.3">
      <c r="A3">
        <v>0.01</v>
      </c>
      <c r="B3">
        <v>1</v>
      </c>
      <c r="C3">
        <v>0.01</v>
      </c>
      <c r="D3">
        <f t="shared" ref="D3:D5" si="0" xml:space="preserve"> -1/A3/A3*C3</f>
        <v>-100</v>
      </c>
      <c r="E3">
        <f t="shared" ref="E3:E11" si="1">ABS(D3*100)</f>
        <v>10000</v>
      </c>
    </row>
    <row r="4" spans="1:5" x14ac:dyDescent="0.3">
      <c r="A4">
        <v>0.02</v>
      </c>
      <c r="B4">
        <v>1</v>
      </c>
      <c r="C4">
        <v>0.01</v>
      </c>
      <c r="D4">
        <f t="shared" si="0"/>
        <v>-25</v>
      </c>
      <c r="E4">
        <f t="shared" si="1"/>
        <v>2500</v>
      </c>
    </row>
    <row r="5" spans="1:5" x14ac:dyDescent="0.3">
      <c r="A5">
        <v>0.05</v>
      </c>
      <c r="B5">
        <v>1</v>
      </c>
      <c r="C5">
        <v>0.01</v>
      </c>
      <c r="D5">
        <f t="shared" si="0"/>
        <v>-4</v>
      </c>
      <c r="E5">
        <f t="shared" si="1"/>
        <v>400</v>
      </c>
    </row>
    <row r="6" spans="1:5" x14ac:dyDescent="0.3">
      <c r="A6">
        <v>0.1</v>
      </c>
      <c r="B6">
        <v>1</v>
      </c>
      <c r="C6">
        <v>0.01</v>
      </c>
      <c r="D6">
        <f t="shared" ref="D6:D20" si="2" xml:space="preserve"> -1/A6/A6*C6</f>
        <v>-1</v>
      </c>
      <c r="E6">
        <f t="shared" si="1"/>
        <v>100</v>
      </c>
    </row>
    <row r="7" spans="1:5" x14ac:dyDescent="0.3">
      <c r="A7">
        <v>0.2</v>
      </c>
      <c r="B7">
        <v>1</v>
      </c>
      <c r="C7">
        <v>0.01</v>
      </c>
      <c r="D7">
        <f t="shared" si="2"/>
        <v>-0.25</v>
      </c>
      <c r="E7">
        <f t="shared" si="1"/>
        <v>25</v>
      </c>
    </row>
    <row r="8" spans="1:5" x14ac:dyDescent="0.3">
      <c r="A8">
        <v>0.3</v>
      </c>
      <c r="B8">
        <v>1</v>
      </c>
      <c r="C8">
        <v>0.01</v>
      </c>
      <c r="D8">
        <f t="shared" si="2"/>
        <v>-0.11111111111111113</v>
      </c>
      <c r="E8">
        <f t="shared" si="1"/>
        <v>11.111111111111112</v>
      </c>
    </row>
    <row r="9" spans="1:5" x14ac:dyDescent="0.3">
      <c r="A9">
        <v>0.4</v>
      </c>
      <c r="B9">
        <v>1</v>
      </c>
      <c r="C9">
        <v>0.01</v>
      </c>
      <c r="D9">
        <f t="shared" si="2"/>
        <v>-6.25E-2</v>
      </c>
      <c r="E9">
        <f t="shared" si="1"/>
        <v>6.25</v>
      </c>
    </row>
    <row r="10" spans="1:5" x14ac:dyDescent="0.3">
      <c r="A10">
        <v>0.5</v>
      </c>
      <c r="B10">
        <v>1</v>
      </c>
      <c r="C10">
        <v>0.01</v>
      </c>
      <c r="D10">
        <f t="shared" si="2"/>
        <v>-0.04</v>
      </c>
      <c r="E10">
        <f t="shared" si="1"/>
        <v>4</v>
      </c>
    </row>
    <row r="11" spans="1:5" x14ac:dyDescent="0.3">
      <c r="A11">
        <v>0.6</v>
      </c>
      <c r="B11">
        <v>1</v>
      </c>
      <c r="C11">
        <v>0.01</v>
      </c>
      <c r="D11">
        <f t="shared" si="2"/>
        <v>-2.7777777777777783E-2</v>
      </c>
      <c r="E11">
        <f t="shared" si="1"/>
        <v>2.7777777777777781</v>
      </c>
    </row>
    <row r="12" spans="1:5" x14ac:dyDescent="0.3">
      <c r="A12">
        <v>0.7</v>
      </c>
      <c r="B12">
        <v>1</v>
      </c>
      <c r="C12">
        <v>0.01</v>
      </c>
      <c r="D12">
        <f t="shared" si="2"/>
        <v>-2.0408163265306124E-2</v>
      </c>
      <c r="E12">
        <f t="shared" ref="E12:E20" si="3">ABS(D12*100)</f>
        <v>2.0408163265306123</v>
      </c>
    </row>
    <row r="13" spans="1:5" x14ac:dyDescent="0.3">
      <c r="A13">
        <v>0.8</v>
      </c>
      <c r="B13">
        <v>1</v>
      </c>
      <c r="C13">
        <v>0.01</v>
      </c>
      <c r="D13">
        <f t="shared" si="2"/>
        <v>-1.5625E-2</v>
      </c>
      <c r="E13">
        <f t="shared" si="3"/>
        <v>1.5625</v>
      </c>
    </row>
    <row r="14" spans="1:5" x14ac:dyDescent="0.3">
      <c r="A14">
        <v>0.9</v>
      </c>
      <c r="B14">
        <v>1</v>
      </c>
      <c r="C14">
        <v>0.01</v>
      </c>
      <c r="D14">
        <f t="shared" si="2"/>
        <v>-1.2345679012345678E-2</v>
      </c>
      <c r="E14">
        <f t="shared" si="3"/>
        <v>1.2345679012345678</v>
      </c>
    </row>
    <row r="15" spans="1:5" x14ac:dyDescent="0.3">
      <c r="A15">
        <v>1</v>
      </c>
      <c r="B15">
        <v>1</v>
      </c>
      <c r="C15">
        <v>0.01</v>
      </c>
      <c r="D15">
        <f t="shared" si="2"/>
        <v>-0.01</v>
      </c>
      <c r="E15">
        <f t="shared" si="3"/>
        <v>1</v>
      </c>
    </row>
    <row r="16" spans="1:5" x14ac:dyDescent="0.3">
      <c r="A16">
        <v>1.2</v>
      </c>
      <c r="B16">
        <v>1</v>
      </c>
      <c r="C16">
        <v>0.01</v>
      </c>
      <c r="D16">
        <f t="shared" si="2"/>
        <v>-6.9444444444444458E-3</v>
      </c>
      <c r="E16">
        <f t="shared" si="3"/>
        <v>0.69444444444444453</v>
      </c>
    </row>
    <row r="17" spans="1:5" x14ac:dyDescent="0.3">
      <c r="A17">
        <v>1.5</v>
      </c>
      <c r="B17">
        <v>1</v>
      </c>
      <c r="C17">
        <v>0.01</v>
      </c>
      <c r="D17">
        <f t="shared" si="2"/>
        <v>-4.4444444444444444E-3</v>
      </c>
      <c r="E17">
        <f t="shared" si="3"/>
        <v>0.44444444444444442</v>
      </c>
    </row>
    <row r="18" spans="1:5" x14ac:dyDescent="0.3">
      <c r="A18">
        <v>2</v>
      </c>
      <c r="B18">
        <v>1</v>
      </c>
      <c r="C18">
        <v>0.01</v>
      </c>
      <c r="D18">
        <f t="shared" si="2"/>
        <v>-2.5000000000000001E-3</v>
      </c>
      <c r="E18">
        <f t="shared" si="3"/>
        <v>0.25</v>
      </c>
    </row>
    <row r="19" spans="1:5" x14ac:dyDescent="0.3">
      <c r="A19">
        <v>2.5</v>
      </c>
      <c r="B19">
        <v>1</v>
      </c>
      <c r="C19">
        <v>0.01</v>
      </c>
      <c r="D19">
        <f t="shared" si="2"/>
        <v>-1.6000000000000001E-3</v>
      </c>
      <c r="E19">
        <f t="shared" si="3"/>
        <v>0.16</v>
      </c>
    </row>
    <row r="20" spans="1:5" x14ac:dyDescent="0.3">
      <c r="A20">
        <v>3</v>
      </c>
      <c r="B20">
        <v>1</v>
      </c>
      <c r="C20">
        <v>0.01</v>
      </c>
      <c r="D20">
        <f t="shared" si="2"/>
        <v>-1.1111111111111111E-3</v>
      </c>
      <c r="E20">
        <f t="shared" si="3"/>
        <v>0.1111111111111111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6A81-DA24-41E4-85FD-2910A9287BD3}">
  <dimension ref="A1:E20"/>
  <sheetViews>
    <sheetView zoomScale="116" workbookViewId="0">
      <selection activeCell="D25" sqref="D25"/>
    </sheetView>
  </sheetViews>
  <sheetFormatPr defaultRowHeight="14.4" x14ac:dyDescent="0.3"/>
  <sheetData>
    <row r="1" spans="1:5" x14ac:dyDescent="0.3">
      <c r="A1" t="s">
        <v>0</v>
      </c>
      <c r="B1" t="s">
        <v>3</v>
      </c>
      <c r="C1" t="s">
        <v>4</v>
      </c>
      <c r="D1" t="s">
        <v>2</v>
      </c>
      <c r="E1" t="s">
        <v>1</v>
      </c>
    </row>
    <row r="2" spans="1:5" x14ac:dyDescent="0.3">
      <c r="A2">
        <v>1E-3</v>
      </c>
      <c r="B2">
        <v>0.01</v>
      </c>
      <c r="C2">
        <f>B2*100</f>
        <v>1</v>
      </c>
      <c r="D2">
        <f xml:space="preserve"> -A2*A2*B2</f>
        <v>-1E-8</v>
      </c>
      <c r="E2">
        <f>ABS(D2*100)</f>
        <v>9.9999999999999995E-7</v>
      </c>
    </row>
    <row r="3" spans="1:5" x14ac:dyDescent="0.3">
      <c r="A3">
        <v>0.01</v>
      </c>
      <c r="B3">
        <v>0.01</v>
      </c>
      <c r="C3">
        <f t="shared" ref="C3:C20" si="0">B3*100</f>
        <v>1</v>
      </c>
      <c r="D3">
        <f t="shared" ref="D3:D20" si="1" xml:space="preserve"> -A3*A3*B3</f>
        <v>-1.0000000000000002E-6</v>
      </c>
      <c r="E3">
        <f t="shared" ref="E3:E20" si="2">ABS(D3*100)</f>
        <v>1.0000000000000002E-4</v>
      </c>
    </row>
    <row r="4" spans="1:5" x14ac:dyDescent="0.3">
      <c r="A4">
        <v>0.02</v>
      </c>
      <c r="B4">
        <v>0.01</v>
      </c>
      <c r="C4">
        <f t="shared" si="0"/>
        <v>1</v>
      </c>
      <c r="D4">
        <f t="shared" si="1"/>
        <v>-4.0000000000000007E-6</v>
      </c>
      <c r="E4">
        <f t="shared" si="2"/>
        <v>4.0000000000000007E-4</v>
      </c>
    </row>
    <row r="5" spans="1:5" x14ac:dyDescent="0.3">
      <c r="A5">
        <v>0.05</v>
      </c>
      <c r="B5">
        <v>0.01</v>
      </c>
      <c r="C5">
        <f t="shared" si="0"/>
        <v>1</v>
      </c>
      <c r="D5">
        <f t="shared" si="1"/>
        <v>-2.5000000000000005E-5</v>
      </c>
      <c r="E5">
        <f t="shared" si="2"/>
        <v>2.5000000000000005E-3</v>
      </c>
    </row>
    <row r="6" spans="1:5" x14ac:dyDescent="0.3">
      <c r="A6">
        <v>0.1</v>
      </c>
      <c r="B6">
        <v>0.01</v>
      </c>
      <c r="C6">
        <f t="shared" si="0"/>
        <v>1</v>
      </c>
      <c r="D6">
        <f t="shared" si="1"/>
        <v>-1.0000000000000002E-4</v>
      </c>
      <c r="E6">
        <f t="shared" si="2"/>
        <v>1.0000000000000002E-2</v>
      </c>
    </row>
    <row r="7" spans="1:5" x14ac:dyDescent="0.3">
      <c r="A7">
        <v>0.2</v>
      </c>
      <c r="B7">
        <v>0.01</v>
      </c>
      <c r="C7">
        <f t="shared" si="0"/>
        <v>1</v>
      </c>
      <c r="D7">
        <f t="shared" si="1"/>
        <v>-4.0000000000000007E-4</v>
      </c>
      <c r="E7">
        <f t="shared" si="2"/>
        <v>4.0000000000000008E-2</v>
      </c>
    </row>
    <row r="8" spans="1:5" x14ac:dyDescent="0.3">
      <c r="A8">
        <v>0.3</v>
      </c>
      <c r="B8">
        <v>0.01</v>
      </c>
      <c r="C8">
        <f t="shared" si="0"/>
        <v>1</v>
      </c>
      <c r="D8">
        <f t="shared" si="1"/>
        <v>-8.9999999999999998E-4</v>
      </c>
      <c r="E8">
        <f t="shared" si="2"/>
        <v>0.09</v>
      </c>
    </row>
    <row r="9" spans="1:5" x14ac:dyDescent="0.3">
      <c r="A9">
        <v>0.4</v>
      </c>
      <c r="B9">
        <v>0.01</v>
      </c>
      <c r="C9">
        <f t="shared" si="0"/>
        <v>1</v>
      </c>
      <c r="D9">
        <f t="shared" si="1"/>
        <v>-1.6000000000000003E-3</v>
      </c>
      <c r="E9">
        <f t="shared" si="2"/>
        <v>0.16000000000000003</v>
      </c>
    </row>
    <row r="10" spans="1:5" x14ac:dyDescent="0.3">
      <c r="A10">
        <v>0.5</v>
      </c>
      <c r="B10">
        <v>0.01</v>
      </c>
      <c r="C10">
        <f t="shared" si="0"/>
        <v>1</v>
      </c>
      <c r="D10">
        <f t="shared" si="1"/>
        <v>-2.5000000000000001E-3</v>
      </c>
      <c r="E10">
        <f t="shared" si="2"/>
        <v>0.25</v>
      </c>
    </row>
    <row r="11" spans="1:5" x14ac:dyDescent="0.3">
      <c r="A11">
        <v>0.6</v>
      </c>
      <c r="B11">
        <v>0.01</v>
      </c>
      <c r="C11">
        <f t="shared" si="0"/>
        <v>1</v>
      </c>
      <c r="D11">
        <f t="shared" si="1"/>
        <v>-3.5999999999999999E-3</v>
      </c>
      <c r="E11">
        <f t="shared" si="2"/>
        <v>0.36</v>
      </c>
    </row>
    <row r="12" spans="1:5" x14ac:dyDescent="0.3">
      <c r="A12">
        <v>0.7</v>
      </c>
      <c r="B12">
        <v>0.01</v>
      </c>
      <c r="C12">
        <f t="shared" si="0"/>
        <v>1</v>
      </c>
      <c r="D12">
        <f t="shared" si="1"/>
        <v>-4.8999999999999998E-3</v>
      </c>
      <c r="E12">
        <f t="shared" si="2"/>
        <v>0.49</v>
      </c>
    </row>
    <row r="13" spans="1:5" x14ac:dyDescent="0.3">
      <c r="A13">
        <v>0.8</v>
      </c>
      <c r="B13">
        <v>0.01</v>
      </c>
      <c r="C13">
        <f t="shared" si="0"/>
        <v>1</v>
      </c>
      <c r="D13">
        <f t="shared" si="1"/>
        <v>-6.4000000000000012E-3</v>
      </c>
      <c r="E13">
        <f t="shared" si="2"/>
        <v>0.64000000000000012</v>
      </c>
    </row>
    <row r="14" spans="1:5" x14ac:dyDescent="0.3">
      <c r="A14">
        <v>0.9</v>
      </c>
      <c r="B14">
        <v>0.01</v>
      </c>
      <c r="C14">
        <f t="shared" si="0"/>
        <v>1</v>
      </c>
      <c r="D14">
        <f t="shared" si="1"/>
        <v>-8.1000000000000013E-3</v>
      </c>
      <c r="E14">
        <f t="shared" si="2"/>
        <v>0.81000000000000016</v>
      </c>
    </row>
    <row r="15" spans="1:5" x14ac:dyDescent="0.3">
      <c r="A15">
        <v>1</v>
      </c>
      <c r="B15">
        <v>0.01</v>
      </c>
      <c r="C15">
        <f t="shared" si="0"/>
        <v>1</v>
      </c>
      <c r="D15">
        <f t="shared" si="1"/>
        <v>-0.01</v>
      </c>
      <c r="E15">
        <f t="shared" si="2"/>
        <v>1</v>
      </c>
    </row>
    <row r="16" spans="1:5" x14ac:dyDescent="0.3">
      <c r="A16">
        <v>1.2</v>
      </c>
      <c r="B16">
        <v>0.01</v>
      </c>
      <c r="C16">
        <f t="shared" si="0"/>
        <v>1</v>
      </c>
      <c r="D16">
        <f t="shared" si="1"/>
        <v>-1.44E-2</v>
      </c>
      <c r="E16">
        <f t="shared" si="2"/>
        <v>1.44</v>
      </c>
    </row>
    <row r="17" spans="1:5" x14ac:dyDescent="0.3">
      <c r="A17">
        <v>1.5</v>
      </c>
      <c r="B17">
        <v>0.01</v>
      </c>
      <c r="C17">
        <f t="shared" si="0"/>
        <v>1</v>
      </c>
      <c r="D17">
        <f t="shared" si="1"/>
        <v>-2.2499999999999999E-2</v>
      </c>
      <c r="E17">
        <f t="shared" si="2"/>
        <v>2.25</v>
      </c>
    </row>
    <row r="18" spans="1:5" x14ac:dyDescent="0.3">
      <c r="A18">
        <v>2</v>
      </c>
      <c r="B18">
        <v>0.01</v>
      </c>
      <c r="C18">
        <f t="shared" si="0"/>
        <v>1</v>
      </c>
      <c r="D18">
        <f t="shared" si="1"/>
        <v>-0.04</v>
      </c>
      <c r="E18">
        <f t="shared" si="2"/>
        <v>4</v>
      </c>
    </row>
    <row r="19" spans="1:5" x14ac:dyDescent="0.3">
      <c r="A19">
        <v>2.5</v>
      </c>
      <c r="B19">
        <v>0.01</v>
      </c>
      <c r="C19">
        <f t="shared" si="0"/>
        <v>1</v>
      </c>
      <c r="D19">
        <f t="shared" si="1"/>
        <v>-6.25E-2</v>
      </c>
      <c r="E19">
        <f t="shared" si="2"/>
        <v>6.25</v>
      </c>
    </row>
    <row r="20" spans="1:5" x14ac:dyDescent="0.3">
      <c r="A20">
        <v>3</v>
      </c>
      <c r="B20">
        <v>0.01</v>
      </c>
      <c r="C20">
        <f t="shared" si="0"/>
        <v>1</v>
      </c>
      <c r="D20">
        <f t="shared" si="1"/>
        <v>-0.09</v>
      </c>
      <c r="E20">
        <f t="shared" si="2"/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38C2-92C0-40D0-A616-27411C0B8567}">
  <dimension ref="A1:E20"/>
  <sheetViews>
    <sheetView zoomScale="92" workbookViewId="0">
      <selection activeCell="F25" sqref="F25"/>
    </sheetView>
  </sheetViews>
  <sheetFormatPr defaultRowHeight="14.4" x14ac:dyDescent="0.3"/>
  <sheetData>
    <row r="1" spans="1:5" x14ac:dyDescent="0.3">
      <c r="A1" t="s">
        <v>0</v>
      </c>
      <c r="B1" t="s">
        <v>3</v>
      </c>
      <c r="C1" t="s">
        <v>4</v>
      </c>
      <c r="D1" t="s">
        <v>2</v>
      </c>
      <c r="E1" t="s">
        <v>1</v>
      </c>
    </row>
    <row r="2" spans="1:5" x14ac:dyDescent="0.3">
      <c r="A2">
        <v>1E-3</v>
      </c>
      <c r="B2">
        <v>0.06</v>
      </c>
      <c r="C2">
        <f>B2*100</f>
        <v>6</v>
      </c>
      <c r="D2">
        <f xml:space="preserve"> -A2*A2*B2</f>
        <v>-5.9999999999999995E-8</v>
      </c>
      <c r="E2">
        <f>ABS(D2*100)</f>
        <v>5.9999999999999993E-6</v>
      </c>
    </row>
    <row r="3" spans="1:5" x14ac:dyDescent="0.3">
      <c r="A3">
        <v>0.01</v>
      </c>
      <c r="B3">
        <v>0.06</v>
      </c>
      <c r="C3">
        <f t="shared" ref="C3:C5" si="0">B3*100</f>
        <v>6</v>
      </c>
      <c r="D3">
        <f t="shared" ref="D3:D5" si="1" xml:space="preserve"> -A3*A3*B3</f>
        <v>-6.0000000000000002E-6</v>
      </c>
      <c r="E3">
        <f t="shared" ref="E3:E5" si="2">ABS(D3*100)</f>
        <v>6.0000000000000006E-4</v>
      </c>
    </row>
    <row r="4" spans="1:5" x14ac:dyDescent="0.3">
      <c r="A4">
        <v>0.02</v>
      </c>
      <c r="B4">
        <v>0.06</v>
      </c>
      <c r="C4">
        <f t="shared" si="0"/>
        <v>6</v>
      </c>
      <c r="D4">
        <f t="shared" si="1"/>
        <v>-2.4000000000000001E-5</v>
      </c>
      <c r="E4">
        <f t="shared" si="2"/>
        <v>2.4000000000000002E-3</v>
      </c>
    </row>
    <row r="5" spans="1:5" x14ac:dyDescent="0.3">
      <c r="A5">
        <v>0.05</v>
      </c>
      <c r="B5">
        <v>0.06</v>
      </c>
      <c r="C5">
        <f t="shared" si="0"/>
        <v>6</v>
      </c>
      <c r="D5">
        <f t="shared" si="1"/>
        <v>-1.5000000000000001E-4</v>
      </c>
      <c r="E5">
        <f t="shared" si="2"/>
        <v>1.5000000000000001E-2</v>
      </c>
    </row>
    <row r="6" spans="1:5" x14ac:dyDescent="0.3">
      <c r="A6">
        <v>0.1</v>
      </c>
      <c r="B6">
        <v>0.06</v>
      </c>
      <c r="C6">
        <f t="shared" ref="C6:C20" si="3">B6*100</f>
        <v>6</v>
      </c>
      <c r="D6">
        <f t="shared" ref="D6:D20" si="4" xml:space="preserve"> -A6*A6*B6</f>
        <v>-6.0000000000000006E-4</v>
      </c>
      <c r="E6">
        <f t="shared" ref="E6:E20" si="5">ABS(D6*100)</f>
        <v>6.0000000000000005E-2</v>
      </c>
    </row>
    <row r="7" spans="1:5" x14ac:dyDescent="0.3">
      <c r="A7">
        <v>0.2</v>
      </c>
      <c r="B7">
        <v>0.06</v>
      </c>
      <c r="C7">
        <f t="shared" si="3"/>
        <v>6</v>
      </c>
      <c r="D7">
        <f t="shared" si="4"/>
        <v>-2.4000000000000002E-3</v>
      </c>
      <c r="E7">
        <f t="shared" si="5"/>
        <v>0.24000000000000002</v>
      </c>
    </row>
    <row r="8" spans="1:5" x14ac:dyDescent="0.3">
      <c r="A8">
        <v>0.3</v>
      </c>
      <c r="B8">
        <v>0.06</v>
      </c>
      <c r="C8">
        <f t="shared" si="3"/>
        <v>6</v>
      </c>
      <c r="D8">
        <f t="shared" si="4"/>
        <v>-5.3999999999999994E-3</v>
      </c>
      <c r="E8">
        <f t="shared" si="5"/>
        <v>0.53999999999999992</v>
      </c>
    </row>
    <row r="9" spans="1:5" x14ac:dyDescent="0.3">
      <c r="A9">
        <v>0.4</v>
      </c>
      <c r="B9">
        <v>0.06</v>
      </c>
      <c r="C9">
        <f t="shared" si="3"/>
        <v>6</v>
      </c>
      <c r="D9">
        <f t="shared" si="4"/>
        <v>-9.6000000000000009E-3</v>
      </c>
      <c r="E9">
        <f t="shared" si="5"/>
        <v>0.96000000000000008</v>
      </c>
    </row>
    <row r="10" spans="1:5" x14ac:dyDescent="0.3">
      <c r="A10">
        <v>0.5</v>
      </c>
      <c r="B10">
        <v>0.06</v>
      </c>
      <c r="C10">
        <f t="shared" si="3"/>
        <v>6</v>
      </c>
      <c r="D10">
        <f t="shared" si="4"/>
        <v>-1.4999999999999999E-2</v>
      </c>
      <c r="E10">
        <f t="shared" si="5"/>
        <v>1.5</v>
      </c>
    </row>
    <row r="11" spans="1:5" x14ac:dyDescent="0.3">
      <c r="A11">
        <v>0.6</v>
      </c>
      <c r="B11">
        <v>0.06</v>
      </c>
      <c r="C11">
        <f t="shared" si="3"/>
        <v>6</v>
      </c>
      <c r="D11">
        <f t="shared" si="4"/>
        <v>-2.1599999999999998E-2</v>
      </c>
      <c r="E11">
        <f t="shared" si="5"/>
        <v>2.1599999999999997</v>
      </c>
    </row>
    <row r="12" spans="1:5" x14ac:dyDescent="0.3">
      <c r="A12">
        <v>0.7</v>
      </c>
      <c r="B12">
        <v>0.06</v>
      </c>
      <c r="C12">
        <f t="shared" si="3"/>
        <v>6</v>
      </c>
      <c r="D12">
        <f t="shared" si="4"/>
        <v>-2.9399999999999996E-2</v>
      </c>
      <c r="E12">
        <f t="shared" si="5"/>
        <v>2.9399999999999995</v>
      </c>
    </row>
    <row r="13" spans="1:5" x14ac:dyDescent="0.3">
      <c r="A13">
        <v>0.8</v>
      </c>
      <c r="B13">
        <v>0.06</v>
      </c>
      <c r="C13">
        <f t="shared" si="3"/>
        <v>6</v>
      </c>
      <c r="D13">
        <f t="shared" si="4"/>
        <v>-3.8400000000000004E-2</v>
      </c>
      <c r="E13">
        <f t="shared" si="5"/>
        <v>3.8400000000000003</v>
      </c>
    </row>
    <row r="14" spans="1:5" x14ac:dyDescent="0.3">
      <c r="A14">
        <v>0.9</v>
      </c>
      <c r="B14">
        <v>0.06</v>
      </c>
      <c r="C14">
        <f t="shared" si="3"/>
        <v>6</v>
      </c>
      <c r="D14">
        <f t="shared" si="4"/>
        <v>-4.8600000000000004E-2</v>
      </c>
      <c r="E14">
        <f t="shared" si="5"/>
        <v>4.8600000000000003</v>
      </c>
    </row>
    <row r="15" spans="1:5" x14ac:dyDescent="0.3">
      <c r="A15">
        <v>1</v>
      </c>
      <c r="B15">
        <v>0.06</v>
      </c>
      <c r="C15">
        <f t="shared" si="3"/>
        <v>6</v>
      </c>
      <c r="D15">
        <f t="shared" si="4"/>
        <v>-0.06</v>
      </c>
      <c r="E15">
        <f t="shared" si="5"/>
        <v>6</v>
      </c>
    </row>
    <row r="16" spans="1:5" x14ac:dyDescent="0.3">
      <c r="A16">
        <v>1.2</v>
      </c>
      <c r="B16">
        <v>0.06</v>
      </c>
      <c r="C16">
        <f t="shared" si="3"/>
        <v>6</v>
      </c>
      <c r="D16">
        <f t="shared" si="4"/>
        <v>-8.6399999999999991E-2</v>
      </c>
      <c r="E16">
        <f t="shared" si="5"/>
        <v>8.6399999999999988</v>
      </c>
    </row>
    <row r="17" spans="1:5" x14ac:dyDescent="0.3">
      <c r="A17">
        <v>1.5</v>
      </c>
      <c r="B17">
        <v>0.06</v>
      </c>
      <c r="C17">
        <f t="shared" si="3"/>
        <v>6</v>
      </c>
      <c r="D17">
        <f t="shared" si="4"/>
        <v>-0.13500000000000001</v>
      </c>
      <c r="E17">
        <f t="shared" si="5"/>
        <v>13.5</v>
      </c>
    </row>
    <row r="18" spans="1:5" x14ac:dyDescent="0.3">
      <c r="A18">
        <v>2</v>
      </c>
      <c r="B18">
        <v>0.06</v>
      </c>
      <c r="C18">
        <f t="shared" si="3"/>
        <v>6</v>
      </c>
      <c r="D18">
        <f t="shared" si="4"/>
        <v>-0.24</v>
      </c>
      <c r="E18">
        <f t="shared" si="5"/>
        <v>24</v>
      </c>
    </row>
    <row r="19" spans="1:5" x14ac:dyDescent="0.3">
      <c r="A19">
        <v>2.5</v>
      </c>
      <c r="B19">
        <v>0.06</v>
      </c>
      <c r="C19">
        <f t="shared" si="3"/>
        <v>6</v>
      </c>
      <c r="D19">
        <f t="shared" si="4"/>
        <v>-0.375</v>
      </c>
      <c r="E19">
        <f t="shared" si="5"/>
        <v>37.5</v>
      </c>
    </row>
    <row r="20" spans="1:5" x14ac:dyDescent="0.3">
      <c r="A20">
        <v>3</v>
      </c>
      <c r="B20">
        <v>0.06</v>
      </c>
      <c r="C20">
        <f t="shared" si="3"/>
        <v>6</v>
      </c>
      <c r="D20">
        <f t="shared" si="4"/>
        <v>-0.54</v>
      </c>
      <c r="E20">
        <f t="shared" si="5"/>
        <v>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 (2)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Shreshtha Yaduka</dc:creator>
  <cp:lastModifiedBy>Shreshtha Yaduka</cp:lastModifiedBy>
  <dcterms:created xsi:type="dcterms:W3CDTF">2026-08-04T06:33:04Z</dcterms:created>
  <dcterms:modified xsi:type="dcterms:W3CDTF">2026-08-04T07:06:07Z</dcterms:modified>
</cp:coreProperties>
</file>