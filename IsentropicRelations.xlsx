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Sem 7\Adv Gas Dynamics\"/>
    </mc:Choice>
  </mc:AlternateContent>
  <xr:revisionPtr revIDLastSave="0" documentId="8_{26CDD8CB-4535-404F-8081-1C49BBDD75EF}" xr6:coauthVersionLast="47" xr6:coauthVersionMax="47" xr10:uidLastSave="{00000000-0000-0000-0000-000000000000}"/>
  <bookViews>
    <workbookView xWindow="-108" yWindow="-108" windowWidth="23256" windowHeight="12456" xr2:uid="{CB2CC4CD-15A1-44F3-BD30-81422613D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E19" i="1"/>
  <c r="E20" i="1"/>
  <c r="E21" i="1"/>
  <c r="E22" i="1"/>
  <c r="E23" i="1"/>
  <c r="E24" i="1"/>
  <c r="E25" i="1"/>
  <c r="E26" i="1"/>
  <c r="E2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</calcChain>
</file>

<file path=xl/sharedStrings.xml><?xml version="1.0" encoding="utf-8"?>
<sst xmlns="http://schemas.openxmlformats.org/spreadsheetml/2006/main" count="5" uniqueCount="5">
  <si>
    <t>M</t>
  </si>
  <si>
    <t>P0 / P</t>
  </si>
  <si>
    <t>T0 / T</t>
  </si>
  <si>
    <t>rho0 / rho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</si>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</sst>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T0/T vs 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Sheet1!$B$2:$B$27</c:f>
              <c:numCache>
                <c:formatCode>General</c:formatCode>
                <c:ptCount val="26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</c:numCache>
            </c:numRef>
          </c:xVal>
          <c:yVal>
            <c:numRef>
              <c:f>Sheet1!$D$2:$D$27</c:f>
              <c:numCache>
                <c:formatCode>General</c:formatCode>
                <c:ptCount val="26"/>
                <c:pt idx="0">
                  <c:v>1.0000199999999999</c:v>
                </c:pt>
                <c:pt idx="1">
                  <c:v>1.0000800000000001</c:v>
                </c:pt>
                <c:pt idx="2">
                  <c:v>1.0004999999999999</c:v>
                </c:pt>
                <c:pt idx="3">
                  <c:v>1.002</c:v>
                </c:pt>
                <c:pt idx="4">
                  <c:v>1.008</c:v>
                </c:pt>
                <c:pt idx="5">
                  <c:v>1.05</c:v>
                </c:pt>
                <c:pt idx="6">
                  <c:v>1.2</c:v>
                </c:pt>
                <c:pt idx="7">
                  <c:v>1.7999999999999998</c:v>
                </c:pt>
                <c:pt idx="8">
                  <c:v>2.8</c:v>
                </c:pt>
                <c:pt idx="9">
                  <c:v>4.1999999999999993</c:v>
                </c:pt>
                <c:pt idx="10">
                  <c:v>5.9999999999999991</c:v>
                </c:pt>
                <c:pt idx="11">
                  <c:v>8.1999999999999993</c:v>
                </c:pt>
                <c:pt idx="12">
                  <c:v>10.799999999999997</c:v>
                </c:pt>
                <c:pt idx="13">
                  <c:v>13.799999999999997</c:v>
                </c:pt>
                <c:pt idx="14">
                  <c:v>17.199999999999996</c:v>
                </c:pt>
                <c:pt idx="15">
                  <c:v>20.999999999999996</c:v>
                </c:pt>
                <c:pt idx="16">
                  <c:v>25.199999999999992</c:v>
                </c:pt>
                <c:pt idx="17">
                  <c:v>29.799999999999994</c:v>
                </c:pt>
                <c:pt idx="18">
                  <c:v>34.799999999999997</c:v>
                </c:pt>
                <c:pt idx="19">
                  <c:v>40.199999999999989</c:v>
                </c:pt>
                <c:pt idx="20">
                  <c:v>45.999999999999986</c:v>
                </c:pt>
                <c:pt idx="21">
                  <c:v>52.199999999999989</c:v>
                </c:pt>
                <c:pt idx="22">
                  <c:v>58.79999999999999</c:v>
                </c:pt>
                <c:pt idx="23">
                  <c:v>65.799999999999983</c:v>
                </c:pt>
                <c:pt idx="24">
                  <c:v>73.199999999999974</c:v>
                </c:pt>
                <c:pt idx="25">
                  <c:v>80.999999999999986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F2-4647-812A-8D03F6D93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954143"/>
        <c:axId val="925337839"/>
      </c:scatterChart>
      <c:valAx>
        <c:axId val="109995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37839"/>
        <c:crosses val="autoZero"/>
        <c:crossBetween val="midCat"/>
      </c:valAx>
      <c:valAx>
        <c:axId val="92533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954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P0/P vs 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Sheet1!$B$2:$B$27</c:f>
              <c:numCache>
                <c:formatCode>General</c:formatCode>
                <c:ptCount val="26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</c:numCache>
            </c:numRef>
          </c:xVal>
          <c:yVal>
            <c:numRef>
              <c:f>Sheet1!$E$2:$E$27</c:f>
              <c:numCache>
                <c:formatCode>General</c:formatCode>
                <c:ptCount val="26"/>
                <c:pt idx="0">
                  <c:v>1.0000700017500173</c:v>
                </c:pt>
                <c:pt idx="1">
                  <c:v>1.0002800280011204</c:v>
                </c:pt>
                <c:pt idx="2">
                  <c:v>1.0017510940234544</c:v>
                </c:pt>
                <c:pt idx="3">
                  <c:v>1.0070175175043741</c:v>
                </c:pt>
                <c:pt idx="4">
                  <c:v>1.0282811211191059</c:v>
                </c:pt>
                <c:pt idx="5">
                  <c:v>1.1862126380443982</c:v>
                </c:pt>
                <c:pt idx="6">
                  <c:v>1.8929291587378541</c:v>
                </c:pt>
                <c:pt idx="7">
                  <c:v>7.8244490668672642</c:v>
                </c:pt>
                <c:pt idx="8">
                  <c:v>36.73272180495205</c:v>
                </c:pt>
                <c:pt idx="9">
                  <c:v>151.83521766968298</c:v>
                </c:pt>
                <c:pt idx="10">
                  <c:v>529.08978444116701</c:v>
                </c:pt>
                <c:pt idx="11">
                  <c:v>1578.8776728033129</c:v>
                </c:pt>
                <c:pt idx="12">
                  <c:v>4139.8360701596812</c:v>
                </c:pt>
                <c:pt idx="13">
                  <c:v>9762.8541745300663</c:v>
                </c:pt>
                <c:pt idx="14">
                  <c:v>21103.260706291556</c:v>
                </c:pt>
                <c:pt idx="15">
                  <c:v>42439.233510986123</c:v>
                </c:pt>
                <c:pt idx="16">
                  <c:v>80334.462587430244</c:v>
                </c:pt>
                <c:pt idx="17">
                  <c:v>144463.09807686353</c:v>
                </c:pt>
                <c:pt idx="18">
                  <c:v>248615.01481765701</c:v>
                </c:pt>
                <c:pt idx="19">
                  <c:v>411899.42509643082</c:v>
                </c:pt>
                <c:pt idx="20">
                  <c:v>660164.87123748183</c:v>
                </c:pt>
                <c:pt idx="21">
                  <c:v>1027653.6296774334</c:v>
                </c:pt>
                <c:pt idx="22">
                  <c:v>1558908.558174449</c:v>
                </c:pt>
                <c:pt idx="23">
                  <c:v>2310950.4178025774</c:v>
                </c:pt>
                <c:pt idx="24">
                  <c:v>3355743.7013824512</c:v>
                </c:pt>
                <c:pt idx="25">
                  <c:v>4782969.0000000037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09-4E74-86BD-500ADAF92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955535"/>
        <c:axId val="1161417871"/>
      </c:scatterChart>
      <c:valAx>
        <c:axId val="10999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17871"/>
        <c:crosses val="autoZero"/>
        <c:crossBetween val="midCat"/>
      </c:valAx>
      <c:valAx>
        <c:axId val="11614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95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rho0/rho vs 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Sheet1!$B$2:$B$27</c:f>
              <c:numCache>
                <c:formatCode>General</c:formatCode>
                <c:ptCount val="26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</c:numCache>
            </c:numRef>
          </c:xVal>
          <c:yVal>
            <c:numRef>
              <c:f>Sheet1!$F$2:$F$27</c:f>
              <c:numCache>
                <c:formatCode>General</c:formatCode>
                <c:ptCount val="26"/>
                <c:pt idx="0">
                  <c:v>1.0000280001119994</c:v>
                </c:pt>
                <c:pt idx="1">
                  <c:v>1.0001120017919714</c:v>
                </c:pt>
                <c:pt idx="2">
                  <c:v>1.0007000699930013</c:v>
                </c:pt>
                <c:pt idx="3">
                  <c:v>1.0028011195523581</c:v>
                </c:pt>
                <c:pt idx="4">
                  <c:v>1.0112178914193706</c:v>
                </c:pt>
                <c:pt idx="5">
                  <c:v>1.0706931364657333</c:v>
                </c:pt>
                <c:pt idx="6">
                  <c:v>1.2907845083190841</c:v>
                </c:pt>
                <c:pt idx="7">
                  <c:v>2.2770968742508493</c:v>
                </c:pt>
                <c:pt idx="8">
                  <c:v>4.2268928996131647</c:v>
                </c:pt>
                <c:pt idx="9">
                  <c:v>7.4567401045402999</c:v>
                </c:pt>
                <c:pt idx="10">
                  <c:v>12.286035066475314</c:v>
                </c:pt>
                <c:pt idx="11">
                  <c:v>19.025645191125914</c:v>
                </c:pt>
                <c:pt idx="12">
                  <c:v>27.976492046807245</c:v>
                </c:pt>
                <c:pt idx="13">
                  <c:v>39.43035807093213</c:v>
                </c:pt>
                <c:pt idx="14">
                  <c:v>53.671017118310814</c:v>
                </c:pt>
                <c:pt idx="15">
                  <c:v>70.975263349943958</c:v>
                </c:pt>
                <c:pt idx="16">
                  <c:v>91.613770405974918</c:v>
                </c:pt>
                <c:pt idx="17">
                  <c:v>115.8517956932629</c:v>
                </c:pt>
                <c:pt idx="18">
                  <c:v>143.94975880253611</c:v>
                </c:pt>
                <c:pt idx="19">
                  <c:v>176.16372069714097</c:v>
                </c:pt>
                <c:pt idx="20">
                  <c:v>212.74578496030318</c:v>
                </c:pt>
                <c:pt idx="21">
                  <c:v>253.94443743772368</c:v>
                </c:pt>
                <c:pt idx="22">
                  <c:v>300.00483670205267</c:v>
                </c:pt>
                <c:pt idx="23">
                  <c:v>351.16906482280024</c:v>
                </c:pt>
                <c:pt idx="24">
                  <c:v>407.67634574018058</c:v>
                </c:pt>
                <c:pt idx="25">
                  <c:v>469.76323691841782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7F-4142-81F3-F6DCEAE4F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645775"/>
        <c:axId val="1161460591"/>
      </c:scatterChart>
      <c:valAx>
        <c:axId val="110264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60591"/>
        <c:crosses val="autoZero"/>
        <c:crossBetween val="midCat"/>
      </c:valAx>
      <c:valAx>
        <c:axId val="116146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4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236220</xdr:colOff>
      <xdr:row>0</xdr:row>
      <xdr:rowOff>179070</xdr:rowOff>
    </xdr:from>
    <xdr:to>
      <xdr:col>15</xdr:col>
      <xdr:colOff>541020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75F50-9689-7F28-6125-D17B46ED1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</xdr:colOff>
      <xdr:row>1</xdr:row>
      <xdr:rowOff>3810</xdr:rowOff>
    </xdr:from>
    <xdr:to>
      <xdr:col>23</xdr:col>
      <xdr:colOff>312420</xdr:colOff>
      <xdr:row>16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1E39A7-350A-5681-B770-BBFE143F1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243840</xdr:colOff>
      <xdr:row>16</xdr:row>
      <xdr:rowOff>72390</xdr:rowOff>
    </xdr:from>
    <xdr:to>
      <xdr:col>15</xdr:col>
      <xdr:colOff>548640</xdr:colOff>
      <xdr:row>31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5F822E-C642-03E6-527F-D0F56D47C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58BB-5741-4921-99A3-DBF26C80B7E5}">
  <dimension ref="A1:F27"/>
  <sheetViews>
    <sheetView tabSelected="1" workbookViewId="0">
      <selection activeCell="H6" sqref="H6"/>
    </sheetView>
  </sheetViews>
  <sheetFormatPr defaultRowHeight="14.4" x14ac:dyDescent="0.3"/>
  <sheetData>
    <row r="1" spans="1:6" s="1" customFormat="1" x14ac:dyDescent="0.3">
      <c r="A1" s="1" t="s">
        <v>4</v>
      </c>
      <c r="B1" s="1" t="s">
        <v>0</v>
      </c>
      <c r="D1" s="1" t="s">
        <v>2</v>
      </c>
      <c r="E1" s="1" t="s">
        <v>1</v>
      </c>
      <c r="F1" s="1" t="s">
        <v>3</v>
      </c>
    </row>
    <row r="2" spans="1:6" x14ac:dyDescent="0.3">
      <c r="A2">
        <v>1.4</v>
      </c>
      <c r="B2">
        <v>0.01</v>
      </c>
      <c r="D2">
        <f>1+($A$2-1)/2*B2*B2</f>
        <v>1.0000199999999999</v>
      </c>
      <c r="E2">
        <f xml:space="preserve"> POWER(D2, $A$2/($A$2-1))</f>
        <v>1.0000700017500173</v>
      </c>
      <c r="F2">
        <f>POWER(D2,$A$2)</f>
        <v>1.0000280001119994</v>
      </c>
    </row>
    <row r="3" spans="1:6" x14ac:dyDescent="0.3">
      <c r="B3">
        <v>0.02</v>
      </c>
      <c r="D3">
        <f t="shared" ref="D3:D27" si="0">1+($A$2-1)/2*B3*B3</f>
        <v>1.0000800000000001</v>
      </c>
      <c r="E3">
        <f t="shared" ref="E3:E27" si="1" xml:space="preserve"> POWER(D3, $A$2/($A$2-1))</f>
        <v>1.0002800280011204</v>
      </c>
      <c r="F3">
        <f t="shared" ref="F3:F27" si="2">POWER(D3,$A$2)</f>
        <v>1.0001120017919714</v>
      </c>
    </row>
    <row r="4" spans="1:6" x14ac:dyDescent="0.3">
      <c r="B4">
        <v>0.05</v>
      </c>
      <c r="D4">
        <f t="shared" si="0"/>
        <v>1.0004999999999999</v>
      </c>
      <c r="E4">
        <f t="shared" si="1"/>
        <v>1.0017510940234544</v>
      </c>
      <c r="F4">
        <f t="shared" si="2"/>
        <v>1.0007000699930013</v>
      </c>
    </row>
    <row r="5" spans="1:6" x14ac:dyDescent="0.3">
      <c r="B5">
        <v>0.1</v>
      </c>
      <c r="D5">
        <f t="shared" si="0"/>
        <v>1.002</v>
      </c>
      <c r="E5">
        <f t="shared" si="1"/>
        <v>1.0070175175043741</v>
      </c>
      <c r="F5">
        <f t="shared" si="2"/>
        <v>1.0028011195523581</v>
      </c>
    </row>
    <row r="6" spans="1:6" x14ac:dyDescent="0.3">
      <c r="B6">
        <v>0.2</v>
      </c>
      <c r="D6">
        <f t="shared" si="0"/>
        <v>1.008</v>
      </c>
      <c r="E6">
        <f t="shared" si="1"/>
        <v>1.0282811211191059</v>
      </c>
      <c r="F6">
        <f t="shared" si="2"/>
        <v>1.0112178914193706</v>
      </c>
    </row>
    <row r="7" spans="1:6" x14ac:dyDescent="0.3">
      <c r="B7">
        <v>0.5</v>
      </c>
      <c r="D7">
        <f t="shared" si="0"/>
        <v>1.05</v>
      </c>
      <c r="E7">
        <f t="shared" si="1"/>
        <v>1.1862126380443982</v>
      </c>
      <c r="F7">
        <f t="shared" si="2"/>
        <v>1.0706931364657333</v>
      </c>
    </row>
    <row r="8" spans="1:6" x14ac:dyDescent="0.3">
      <c r="B8">
        <v>1</v>
      </c>
      <c r="D8">
        <f t="shared" si="0"/>
        <v>1.2</v>
      </c>
      <c r="E8">
        <f t="shared" si="1"/>
        <v>1.8929291587378541</v>
      </c>
      <c r="F8">
        <f t="shared" si="2"/>
        <v>1.2907845083190841</v>
      </c>
    </row>
    <row r="9" spans="1:6" x14ac:dyDescent="0.3">
      <c r="B9">
        <v>2</v>
      </c>
      <c r="D9">
        <f t="shared" si="0"/>
        <v>1.7999999999999998</v>
      </c>
      <c r="E9">
        <f t="shared" si="1"/>
        <v>7.8244490668672642</v>
      </c>
      <c r="F9">
        <f t="shared" si="2"/>
        <v>2.2770968742508493</v>
      </c>
    </row>
    <row r="10" spans="1:6" x14ac:dyDescent="0.3">
      <c r="B10">
        <v>3</v>
      </c>
      <c r="D10">
        <f t="shared" si="0"/>
        <v>2.8</v>
      </c>
      <c r="E10">
        <f t="shared" si="1"/>
        <v>36.73272180495205</v>
      </c>
      <c r="F10">
        <f t="shared" si="2"/>
        <v>4.2268928996131647</v>
      </c>
    </row>
    <row r="11" spans="1:6" x14ac:dyDescent="0.3">
      <c r="B11">
        <v>4</v>
      </c>
      <c r="D11">
        <f t="shared" si="0"/>
        <v>4.1999999999999993</v>
      </c>
      <c r="E11">
        <f t="shared" si="1"/>
        <v>151.83521766968298</v>
      </c>
      <c r="F11">
        <f t="shared" si="2"/>
        <v>7.4567401045402999</v>
      </c>
    </row>
    <row r="12" spans="1:6" x14ac:dyDescent="0.3">
      <c r="B12">
        <v>5</v>
      </c>
      <c r="D12">
        <f t="shared" si="0"/>
        <v>5.9999999999999991</v>
      </c>
      <c r="E12">
        <f t="shared" si="1"/>
        <v>529.08978444116701</v>
      </c>
      <c r="F12">
        <f t="shared" si="2"/>
        <v>12.286035066475314</v>
      </c>
    </row>
    <row r="13" spans="1:6" x14ac:dyDescent="0.3">
      <c r="B13">
        <v>6</v>
      </c>
      <c r="D13">
        <f t="shared" si="0"/>
        <v>8.1999999999999993</v>
      </c>
      <c r="E13">
        <f t="shared" si="1"/>
        <v>1578.8776728033129</v>
      </c>
      <c r="F13">
        <f t="shared" si="2"/>
        <v>19.025645191125914</v>
      </c>
    </row>
    <row r="14" spans="1:6" x14ac:dyDescent="0.3">
      <c r="B14">
        <v>7</v>
      </c>
      <c r="D14">
        <f t="shared" si="0"/>
        <v>10.799999999999997</v>
      </c>
      <c r="E14">
        <f t="shared" si="1"/>
        <v>4139.8360701596812</v>
      </c>
      <c r="F14">
        <f t="shared" si="2"/>
        <v>27.976492046807245</v>
      </c>
    </row>
    <row r="15" spans="1:6" x14ac:dyDescent="0.3">
      <c r="B15">
        <v>8</v>
      </c>
      <c r="D15">
        <f t="shared" si="0"/>
        <v>13.799999999999997</v>
      </c>
      <c r="E15">
        <f t="shared" si="1"/>
        <v>9762.8541745300663</v>
      </c>
      <c r="F15">
        <f t="shared" si="2"/>
        <v>39.43035807093213</v>
      </c>
    </row>
    <row r="16" spans="1:6" x14ac:dyDescent="0.3">
      <c r="B16">
        <v>9</v>
      </c>
      <c r="D16">
        <f t="shared" si="0"/>
        <v>17.199999999999996</v>
      </c>
      <c r="E16">
        <f t="shared" si="1"/>
        <v>21103.260706291556</v>
      </c>
      <c r="F16">
        <f t="shared" si="2"/>
        <v>53.671017118310814</v>
      </c>
    </row>
    <row r="17" spans="2:6" x14ac:dyDescent="0.3">
      <c r="B17">
        <v>10</v>
      </c>
      <c r="D17">
        <f t="shared" si="0"/>
        <v>20.999999999999996</v>
      </c>
      <c r="E17">
        <f t="shared" si="1"/>
        <v>42439.233510986123</v>
      </c>
      <c r="F17">
        <f t="shared" si="2"/>
        <v>70.975263349943958</v>
      </c>
    </row>
    <row r="18" spans="2:6" x14ac:dyDescent="0.3">
      <c r="B18">
        <v>11</v>
      </c>
      <c r="D18">
        <f t="shared" si="0"/>
        <v>25.199999999999992</v>
      </c>
      <c r="E18">
        <f t="shared" si="1"/>
        <v>80334.462587430244</v>
      </c>
      <c r="F18">
        <f t="shared" si="2"/>
        <v>91.613770405974918</v>
      </c>
    </row>
    <row r="19" spans="2:6" x14ac:dyDescent="0.3">
      <c r="B19">
        <v>12</v>
      </c>
      <c r="D19">
        <f t="shared" si="0"/>
        <v>29.799999999999994</v>
      </c>
      <c r="E19">
        <f xml:space="preserve"> POWER(D19, $A$2/($A$2-1))</f>
        <v>144463.09807686353</v>
      </c>
      <c r="F19">
        <f t="shared" si="2"/>
        <v>115.8517956932629</v>
      </c>
    </row>
    <row r="20" spans="2:6" x14ac:dyDescent="0.3">
      <c r="B20">
        <v>13</v>
      </c>
      <c r="D20">
        <f t="shared" si="0"/>
        <v>34.799999999999997</v>
      </c>
      <c r="E20">
        <f t="shared" si="1"/>
        <v>248615.01481765701</v>
      </c>
      <c r="F20">
        <f t="shared" si="2"/>
        <v>143.94975880253611</v>
      </c>
    </row>
    <row r="21" spans="2:6" x14ac:dyDescent="0.3">
      <c r="B21">
        <v>14</v>
      </c>
      <c r="D21">
        <f t="shared" si="0"/>
        <v>40.199999999999989</v>
      </c>
      <c r="E21">
        <f t="shared" si="1"/>
        <v>411899.42509643082</v>
      </c>
      <c r="F21">
        <f t="shared" si="2"/>
        <v>176.16372069714097</v>
      </c>
    </row>
    <row r="22" spans="2:6" x14ac:dyDescent="0.3">
      <c r="B22">
        <v>15</v>
      </c>
      <c r="D22">
        <f t="shared" si="0"/>
        <v>45.999999999999986</v>
      </c>
      <c r="E22">
        <f t="shared" si="1"/>
        <v>660164.87123748183</v>
      </c>
      <c r="F22">
        <f t="shared" si="2"/>
        <v>212.74578496030318</v>
      </c>
    </row>
    <row r="23" spans="2:6" x14ac:dyDescent="0.3">
      <c r="B23">
        <v>16</v>
      </c>
      <c r="D23">
        <f t="shared" si="0"/>
        <v>52.199999999999989</v>
      </c>
      <c r="E23">
        <f t="shared" si="1"/>
        <v>1027653.6296774334</v>
      </c>
      <c r="F23">
        <f t="shared" si="2"/>
        <v>253.94443743772368</v>
      </c>
    </row>
    <row r="24" spans="2:6" x14ac:dyDescent="0.3">
      <c r="B24">
        <v>17</v>
      </c>
      <c r="D24">
        <f t="shared" si="0"/>
        <v>58.79999999999999</v>
      </c>
      <c r="E24">
        <f t="shared" si="1"/>
        <v>1558908.558174449</v>
      </c>
      <c r="F24">
        <f t="shared" si="2"/>
        <v>300.00483670205267</v>
      </c>
    </row>
    <row r="25" spans="2:6" x14ac:dyDescent="0.3">
      <c r="B25">
        <v>18</v>
      </c>
      <c r="D25">
        <f t="shared" si="0"/>
        <v>65.799999999999983</v>
      </c>
      <c r="E25">
        <f t="shared" si="1"/>
        <v>2310950.4178025774</v>
      </c>
      <c r="F25">
        <f t="shared" si="2"/>
        <v>351.16906482280024</v>
      </c>
    </row>
    <row r="26" spans="2:6" x14ac:dyDescent="0.3">
      <c r="B26">
        <v>19</v>
      </c>
      <c r="D26">
        <f t="shared" si="0"/>
        <v>73.199999999999974</v>
      </c>
      <c r="E26">
        <f t="shared" si="1"/>
        <v>3355743.7013824512</v>
      </c>
      <c r="F26">
        <f t="shared" si="2"/>
        <v>407.67634574018058</v>
      </c>
    </row>
    <row r="27" spans="2:6" x14ac:dyDescent="0.3">
      <c r="B27">
        <v>20</v>
      </c>
      <c r="D27">
        <f t="shared" si="0"/>
        <v>80.999999999999986</v>
      </c>
      <c r="E27">
        <f t="shared" si="1"/>
        <v>4782969.0000000037</v>
      </c>
      <c r="F27">
        <f t="shared" si="2"/>
        <v>469.76323691841782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Shreshtha Yaduka</dc:creator>
  <cp:lastModifiedBy>Shreshtha Yaduka</cp:lastModifiedBy>
  <dcterms:created xsi:type="dcterms:W3CDTF">2026-10-04T13:26:09Z</dcterms:created>
  <dcterms:modified xsi:type="dcterms:W3CDTF">2026-10-04T13:36:19Z</dcterms:modified>
</cp:coreProperties>
</file>