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8C947D0-A6D6-4F87-AB2F-34E8DA0343F4}" xr6:coauthVersionLast="47" xr6:coauthVersionMax="47" xr10:uidLastSave="{00000000-0000-0000-0000-000000000000}"/>
  <bookViews>
    <workbookView xWindow="-108" yWindow="-108" windowWidth="23256" windowHeight="12456" xr2:uid="{49796AAD-8355-4FAD-B3BF-401192125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G3" i="1"/>
  <c r="G4" i="1"/>
  <c r="G5" i="1"/>
  <c r="G6" i="1"/>
  <c r="G7" i="1"/>
  <c r="G8" i="1"/>
  <c r="G9" i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G2" i="1"/>
  <c r="H2" i="1"/>
  <c r="I3" i="1" l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<sst xmlns="http://schemas.openxmlformats.org/spreadsheetml/2006/main" count="7" uniqueCount="7">
  <si>
    <t>M1</t>
  </si>
  <si>
    <t>Gamma</t>
  </si>
  <si>
    <t>M2</t>
  </si>
  <si>
    <t>P2/P1</t>
  </si>
  <si>
    <t>rho2/rho1</t>
  </si>
  <si>
    <t>Fluid Properties</t>
  </si>
  <si>
    <t>T2/T1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</si>
</sst>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M2 vs 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1.3473315835520561E-3"/>
                  <c:y val="-0.119895848764201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Sheet1!$F$2:$F$19</c:f>
              <c:numCache>
                <c:formatCode>General</c:formatCode>
                <c:ptCount val="18"/>
                <c:pt idx="0">
                  <c:v>1</c:v>
                </c:pt>
                <c:pt idx="1">
                  <c:v>0.33333333333333331</c:v>
                </c:pt>
                <c:pt idx="2">
                  <c:v>0.22580645161290325</c:v>
                </c:pt>
                <c:pt idx="3">
                  <c:v>0.18918918918918917</c:v>
                </c:pt>
                <c:pt idx="4">
                  <c:v>0.17241379310344826</c:v>
                </c:pt>
                <c:pt idx="5">
                  <c:v>0.16334661354581675</c:v>
                </c:pt>
                <c:pt idx="6">
                  <c:v>0.15789473684210525</c:v>
                </c:pt>
                <c:pt idx="7">
                  <c:v>0.15436241610738252</c:v>
                </c:pt>
                <c:pt idx="8">
                  <c:v>0.15194346289752647</c:v>
                </c:pt>
                <c:pt idx="9">
                  <c:v>0.15021459227467807</c:v>
                </c:pt>
                <c:pt idx="10">
                  <c:v>0.14893617021276592</c:v>
                </c:pt>
                <c:pt idx="11">
                  <c:v>0.14796425024826215</c:v>
                </c:pt>
                <c:pt idx="12">
                  <c:v>0.14720812182741116</c:v>
                </c:pt>
                <c:pt idx="13">
                  <c:v>0.14660831509846822</c:v>
                </c:pt>
                <c:pt idx="14">
                  <c:v>0.14612452350698851</c:v>
                </c:pt>
                <c:pt idx="15">
                  <c:v>0.14572864321608037</c:v>
                </c:pt>
                <c:pt idx="16">
                  <c:v>0.14540059347181009</c:v>
                </c:pt>
                <c:pt idx="17">
                  <c:v>0.14512571680635197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E3-4F7E-9528-2E1748E7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475919"/>
        <c:axId val="1494867887"/>
      </c:scatterChart>
      <c:valAx>
        <c:axId val="166647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67887"/>
        <c:crosses val="autoZero"/>
        <c:crossBetween val="midCat"/>
      </c:valAx>
      <c:valAx>
        <c:axId val="149486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7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P2/P1 vs 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P2/P1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4378849518810149"/>
                  <c:y val="7.47368421052631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Sheet1!$G$2:$G$19</c:f>
              <c:numCache>
                <c:formatCode>General</c:formatCode>
                <c:ptCount val="18"/>
                <c:pt idx="0">
                  <c:v>1</c:v>
                </c:pt>
                <c:pt idx="1">
                  <c:v>4.5</c:v>
                </c:pt>
                <c:pt idx="2">
                  <c:v>10.333333333333334</c:v>
                </c:pt>
                <c:pt idx="3">
                  <c:v>18.5</c:v>
                </c:pt>
                <c:pt idx="4">
                  <c:v>28.999999999999996</c:v>
                </c:pt>
                <c:pt idx="5">
                  <c:v>41.833333333333336</c:v>
                </c:pt>
                <c:pt idx="6">
                  <c:v>56.999999999999993</c:v>
                </c:pt>
                <c:pt idx="7">
                  <c:v>74.5</c:v>
                </c:pt>
                <c:pt idx="8">
                  <c:v>94.333333333333343</c:v>
                </c:pt>
                <c:pt idx="9">
                  <c:v>116.5</c:v>
                </c:pt>
                <c:pt idx="10">
                  <c:v>141</c:v>
                </c:pt>
                <c:pt idx="11">
                  <c:v>167.83333333333334</c:v>
                </c:pt>
                <c:pt idx="12">
                  <c:v>197</c:v>
                </c:pt>
                <c:pt idx="13">
                  <c:v>228.5</c:v>
                </c:pt>
                <c:pt idx="14">
                  <c:v>262.33333333333331</c:v>
                </c:pt>
                <c:pt idx="15">
                  <c:v>298.5</c:v>
                </c:pt>
                <c:pt idx="16">
                  <c:v>337</c:v>
                </c:pt>
                <c:pt idx="17">
                  <c:v>377.83333333333331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A-4B70-AFE3-6194913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968815"/>
        <c:axId val="1494897647"/>
      </c:scatterChart>
      <c:valAx>
        <c:axId val="175196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97647"/>
        <c:crosses val="autoZero"/>
        <c:crossBetween val="midCat"/>
      </c:valAx>
      <c:valAx>
        <c:axId val="14948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6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rho2/rho1 vs 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rho2/rho1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1</c:v>
                </c:pt>
                <c:pt idx="1">
                  <c:v>2.666666666666667</c:v>
                </c:pt>
                <c:pt idx="2">
                  <c:v>3.8571428571428572</c:v>
                </c:pt>
                <c:pt idx="3">
                  <c:v>4.5714285714285721</c:v>
                </c:pt>
                <c:pt idx="4">
                  <c:v>5.0000000000000009</c:v>
                </c:pt>
                <c:pt idx="5">
                  <c:v>5.2682926829268295</c:v>
                </c:pt>
                <c:pt idx="6">
                  <c:v>5.4444444444444464</c:v>
                </c:pt>
                <c:pt idx="7">
                  <c:v>5.5652173913043486</c:v>
                </c:pt>
                <c:pt idx="8">
                  <c:v>5.6511627906976756</c:v>
                </c:pt>
                <c:pt idx="9">
                  <c:v>5.7142857142857153</c:v>
                </c:pt>
                <c:pt idx="10">
                  <c:v>5.7619047619047636</c:v>
                </c:pt>
                <c:pt idx="11">
                  <c:v>5.7986577181208059</c:v>
                </c:pt>
                <c:pt idx="12">
                  <c:v>5.8275862068965516</c:v>
                </c:pt>
                <c:pt idx="13">
                  <c:v>5.8507462686567182</c:v>
                </c:pt>
                <c:pt idx="14">
                  <c:v>5.8695652173913064</c:v>
                </c:pt>
                <c:pt idx="15">
                  <c:v>5.8850574712643686</c:v>
                </c:pt>
                <c:pt idx="16">
                  <c:v>5.8979591836734695</c:v>
                </c:pt>
                <c:pt idx="17">
                  <c:v>5.9088145896656545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0-4B12-9B7E-0218268D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052191"/>
        <c:axId val="1752208655"/>
      </c:scatterChart>
      <c:valAx>
        <c:axId val="166405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08655"/>
        <c:crosses val="autoZero"/>
        <c:crossBetween val="midCat"/>
      </c:valAx>
      <c:valAx>
        <c:axId val="175220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05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T2/T1 vs 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T2/T1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5.7141294838145229E-2"/>
                  <c:y val="8.50182268883056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Sheet1!$I$2:$I$21</c:f>
              <c:numCache>
                <c:formatCode>General</c:formatCode>
                <c:ptCount val="20"/>
                <c:pt idx="0">
                  <c:v>1</c:v>
                </c:pt>
                <c:pt idx="1">
                  <c:v>1.6874999999999998</c:v>
                </c:pt>
                <c:pt idx="2">
                  <c:v>2.6790123456790123</c:v>
                </c:pt>
                <c:pt idx="3">
                  <c:v>4.0468749999999991</c:v>
                </c:pt>
                <c:pt idx="4">
                  <c:v>5.799999999999998</c:v>
                </c:pt>
                <c:pt idx="5">
                  <c:v>7.9405864197530862</c:v>
                </c:pt>
                <c:pt idx="6">
                  <c:v>10.469387755102035</c:v>
                </c:pt>
                <c:pt idx="7">
                  <c:v>13.386718749999998</c:v>
                </c:pt>
                <c:pt idx="8">
                  <c:v>16.69272976680384</c:v>
                </c:pt>
                <c:pt idx="9">
                  <c:v>20.387499999999996</c:v>
                </c:pt>
                <c:pt idx="10">
                  <c:v>24.47107438016528</c:v>
                </c:pt>
                <c:pt idx="11">
                  <c:v>28.943479938271604</c:v>
                </c:pt>
                <c:pt idx="12">
                  <c:v>33.80473372781065</c:v>
                </c:pt>
                <c:pt idx="13">
                  <c:v>39.054846938775498</c:v>
                </c:pt>
                <c:pt idx="14">
                  <c:v>44.693827160493811</c:v>
                </c:pt>
                <c:pt idx="15">
                  <c:v>50.721679687499993</c:v>
                </c:pt>
                <c:pt idx="16">
                  <c:v>57.13840830449827</c:v>
                </c:pt>
                <c:pt idx="17">
                  <c:v>63.944015775034281</c:v>
                </c:pt>
                <c:pt idx="18">
                  <c:v>71.138504155124622</c:v>
                </c:pt>
                <c:pt idx="19">
                  <c:v>78.721874999999969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8C-4288-AB5F-6866147CC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523215"/>
        <c:axId val="1152488463"/>
      </c:scatterChart>
      <c:valAx>
        <c:axId val="120152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88463"/>
        <c:crosses val="autoZero"/>
        <c:crossBetween val="midCat"/>
      </c:valAx>
      <c:valAx>
        <c:axId val="115248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2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487680</xdr:colOff>
      <xdr:row>0</xdr:row>
      <xdr:rowOff>53340</xdr:rowOff>
    </xdr:from>
    <xdr:to>
      <xdr:col>17</xdr:col>
      <xdr:colOff>182880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60BC8-7427-179B-DAF2-8EB2D1DE8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464820</xdr:colOff>
      <xdr:row>28</xdr:row>
      <xdr:rowOff>152400</xdr:rowOff>
    </xdr:from>
    <xdr:to>
      <xdr:col>17</xdr:col>
      <xdr:colOff>160020</xdr:colOff>
      <xdr:row>42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531774-4BD3-AD15-8789-B8376705C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472440</xdr:colOff>
      <xdr:row>15</xdr:row>
      <xdr:rowOff>80010</xdr:rowOff>
    </xdr:from>
    <xdr:to>
      <xdr:col>17</xdr:col>
      <xdr:colOff>167640</xdr:colOff>
      <xdr:row>28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98C381-542D-347B-13D7-BBF49F9CE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327660</xdr:colOff>
      <xdr:row>0</xdr:row>
      <xdr:rowOff>49530</xdr:rowOff>
    </xdr:from>
    <xdr:to>
      <xdr:col>25</xdr:col>
      <xdr:colOff>22860</xdr:colOff>
      <xdr:row>15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AC10D1-D7D7-2299-8B4E-5885D8185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90A-2645-404F-A9FB-9597023E9F8D}">
  <dimension ref="A1:I21"/>
  <sheetViews>
    <sheetView tabSelected="1" workbookViewId="0">
      <selection activeCell="I11" sqref="I11"/>
    </sheetView>
  </sheetViews>
  <sheetFormatPr defaultRowHeight="14.4" x14ac:dyDescent="0.3"/>
  <sheetData>
    <row r="1" spans="1:9" s="1" customFormat="1" x14ac:dyDescent="0.3">
      <c r="A1" s="2" t="s">
        <v>5</v>
      </c>
      <c r="B1" s="2"/>
      <c r="D1" s="1" t="s">
        <v>0</v>
      </c>
      <c r="F1" s="1" t="s">
        <v>2</v>
      </c>
      <c r="G1" s="1" t="s">
        <v>3</v>
      </c>
      <c r="H1" s="1" t="s">
        <v>4</v>
      </c>
      <c r="I1" s="1" t="s">
        <v>6</v>
      </c>
    </row>
    <row r="2" spans="1:9" x14ac:dyDescent="0.3">
      <c r="A2" s="1" t="s">
        <v>1</v>
      </c>
      <c r="B2">
        <v>1.4</v>
      </c>
      <c r="D2">
        <v>1</v>
      </c>
      <c r="F2">
        <f xml:space="preserve"> (1+(B$2-1)/2*D2*D2)/(B$2*D2*D2-(B$2-1)/2)</f>
        <v>1</v>
      </c>
      <c r="G2">
        <f xml:space="preserve"> 1 + 2*B$2*(D2*D2-1)/(B$2+1)</f>
        <v>1</v>
      </c>
      <c r="H2">
        <f>(B$2+1)*D2*D2/(2+(B$2-1)*D2*D2)</f>
        <v>1</v>
      </c>
      <c r="I2">
        <f xml:space="preserve"> G2/H2</f>
        <v>1</v>
      </c>
    </row>
    <row r="3" spans="1:9" x14ac:dyDescent="0.3">
      <c r="A3" s="1"/>
      <c r="D3">
        <v>2</v>
      </c>
      <c r="F3">
        <f t="shared" ref="F3:F21" si="0" xml:space="preserve"> (1+(B$2-1)/2*D3*D3)/(B$2*D3*D3-(B$2-1)/2)</f>
        <v>0.33333333333333331</v>
      </c>
      <c r="G3">
        <f t="shared" ref="G3:G21" si="1" xml:space="preserve"> 1 + 2*B$2*(D3*D3-1)/(B$2+1)</f>
        <v>4.5</v>
      </c>
      <c r="H3">
        <f t="shared" ref="H3:H21" si="2">(B$2+1)*D3*D3/(2+(B$2-1)*D3*D3)</f>
        <v>2.666666666666667</v>
      </c>
      <c r="I3">
        <f t="shared" ref="I3:I21" si="3" xml:space="preserve"> G3/H3</f>
        <v>1.6874999999999998</v>
      </c>
    </row>
    <row r="4" spans="1:9" x14ac:dyDescent="0.3">
      <c r="D4">
        <v>3</v>
      </c>
      <c r="F4">
        <f t="shared" si="0"/>
        <v>0.22580645161290325</v>
      </c>
      <c r="G4">
        <f t="shared" si="1"/>
        <v>10.333333333333334</v>
      </c>
      <c r="H4">
        <f t="shared" si="2"/>
        <v>3.8571428571428572</v>
      </c>
      <c r="I4">
        <f t="shared" si="3"/>
        <v>2.6790123456790123</v>
      </c>
    </row>
    <row r="5" spans="1:9" x14ac:dyDescent="0.3">
      <c r="D5">
        <v>4</v>
      </c>
      <c r="F5">
        <f t="shared" si="0"/>
        <v>0.18918918918918917</v>
      </c>
      <c r="G5">
        <f t="shared" si="1"/>
        <v>18.5</v>
      </c>
      <c r="H5">
        <f t="shared" si="2"/>
        <v>4.5714285714285721</v>
      </c>
      <c r="I5">
        <f t="shared" si="3"/>
        <v>4.0468749999999991</v>
      </c>
    </row>
    <row r="6" spans="1:9" x14ac:dyDescent="0.3">
      <c r="D6">
        <v>5</v>
      </c>
      <c r="F6">
        <f t="shared" si="0"/>
        <v>0.17241379310344826</v>
      </c>
      <c r="G6">
        <f t="shared" si="1"/>
        <v>28.999999999999996</v>
      </c>
      <c r="H6">
        <f t="shared" si="2"/>
        <v>5.0000000000000009</v>
      </c>
      <c r="I6">
        <f t="shared" si="3"/>
        <v>5.799999999999998</v>
      </c>
    </row>
    <row r="7" spans="1:9" x14ac:dyDescent="0.3">
      <c r="D7">
        <v>6</v>
      </c>
      <c r="F7">
        <f t="shared" si="0"/>
        <v>0.16334661354581675</v>
      </c>
      <c r="G7">
        <f t="shared" si="1"/>
        <v>41.833333333333336</v>
      </c>
      <c r="H7">
        <f t="shared" si="2"/>
        <v>5.2682926829268295</v>
      </c>
      <c r="I7">
        <f t="shared" si="3"/>
        <v>7.9405864197530862</v>
      </c>
    </row>
    <row r="8" spans="1:9" x14ac:dyDescent="0.3">
      <c r="D8">
        <v>7</v>
      </c>
      <c r="F8">
        <f t="shared" si="0"/>
        <v>0.15789473684210525</v>
      </c>
      <c r="G8">
        <f t="shared" si="1"/>
        <v>56.999999999999993</v>
      </c>
      <c r="H8">
        <f t="shared" si="2"/>
        <v>5.4444444444444464</v>
      </c>
      <c r="I8">
        <f t="shared" si="3"/>
        <v>10.469387755102035</v>
      </c>
    </row>
    <row r="9" spans="1:9" x14ac:dyDescent="0.3">
      <c r="D9">
        <v>8</v>
      </c>
      <c r="F9">
        <f t="shared" si="0"/>
        <v>0.15436241610738252</v>
      </c>
      <c r="G9">
        <f t="shared" si="1"/>
        <v>74.5</v>
      </c>
      <c r="H9">
        <f t="shared" si="2"/>
        <v>5.5652173913043486</v>
      </c>
      <c r="I9">
        <f t="shared" si="3"/>
        <v>13.386718749999998</v>
      </c>
    </row>
    <row r="10" spans="1:9" x14ac:dyDescent="0.3">
      <c r="D10">
        <v>9</v>
      </c>
      <c r="F10">
        <f t="shared" si="0"/>
        <v>0.15194346289752647</v>
      </c>
      <c r="G10">
        <f t="shared" si="1"/>
        <v>94.333333333333343</v>
      </c>
      <c r="H10">
        <f t="shared" si="2"/>
        <v>5.6511627906976756</v>
      </c>
      <c r="I10">
        <f t="shared" si="3"/>
        <v>16.69272976680384</v>
      </c>
    </row>
    <row r="11" spans="1:9" x14ac:dyDescent="0.3">
      <c r="D11">
        <v>10</v>
      </c>
      <c r="F11">
        <f t="shared" si="0"/>
        <v>0.15021459227467807</v>
      </c>
      <c r="G11">
        <f t="shared" si="1"/>
        <v>116.5</v>
      </c>
      <c r="H11">
        <f t="shared" si="2"/>
        <v>5.7142857142857153</v>
      </c>
      <c r="I11">
        <f t="shared" si="3"/>
        <v>20.387499999999996</v>
      </c>
    </row>
    <row r="12" spans="1:9" x14ac:dyDescent="0.3">
      <c r="D12">
        <v>11</v>
      </c>
      <c r="F12">
        <f t="shared" si="0"/>
        <v>0.14893617021276592</v>
      </c>
      <c r="G12">
        <f t="shared" si="1"/>
        <v>141</v>
      </c>
      <c r="H12">
        <f t="shared" si="2"/>
        <v>5.7619047619047636</v>
      </c>
      <c r="I12">
        <f t="shared" si="3"/>
        <v>24.47107438016528</v>
      </c>
    </row>
    <row r="13" spans="1:9" x14ac:dyDescent="0.3">
      <c r="D13">
        <v>12</v>
      </c>
      <c r="F13">
        <f t="shared" si="0"/>
        <v>0.14796425024826215</v>
      </c>
      <c r="G13">
        <f t="shared" si="1"/>
        <v>167.83333333333334</v>
      </c>
      <c r="H13">
        <f t="shared" si="2"/>
        <v>5.7986577181208059</v>
      </c>
      <c r="I13">
        <f t="shared" si="3"/>
        <v>28.943479938271604</v>
      </c>
    </row>
    <row r="14" spans="1:9" x14ac:dyDescent="0.3">
      <c r="D14">
        <v>13</v>
      </c>
      <c r="F14">
        <f t="shared" si="0"/>
        <v>0.14720812182741116</v>
      </c>
      <c r="G14">
        <f t="shared" si="1"/>
        <v>197</v>
      </c>
      <c r="H14">
        <f t="shared" si="2"/>
        <v>5.8275862068965516</v>
      </c>
      <c r="I14">
        <f t="shared" si="3"/>
        <v>33.80473372781065</v>
      </c>
    </row>
    <row r="15" spans="1:9" x14ac:dyDescent="0.3">
      <c r="D15">
        <v>14</v>
      </c>
      <c r="F15">
        <f t="shared" si="0"/>
        <v>0.14660831509846822</v>
      </c>
      <c r="G15">
        <f t="shared" si="1"/>
        <v>228.5</v>
      </c>
      <c r="H15">
        <f t="shared" si="2"/>
        <v>5.8507462686567182</v>
      </c>
      <c r="I15">
        <f t="shared" si="3"/>
        <v>39.054846938775498</v>
      </c>
    </row>
    <row r="16" spans="1:9" x14ac:dyDescent="0.3">
      <c r="D16">
        <v>15</v>
      </c>
      <c r="F16">
        <f t="shared" si="0"/>
        <v>0.14612452350698851</v>
      </c>
      <c r="G16">
        <f t="shared" si="1"/>
        <v>262.33333333333331</v>
      </c>
      <c r="H16">
        <f t="shared" si="2"/>
        <v>5.8695652173913064</v>
      </c>
      <c r="I16">
        <f t="shared" si="3"/>
        <v>44.693827160493811</v>
      </c>
    </row>
    <row r="17" spans="4:9" x14ac:dyDescent="0.3">
      <c r="D17">
        <v>16</v>
      </c>
      <c r="F17">
        <f t="shared" si="0"/>
        <v>0.14572864321608037</v>
      </c>
      <c r="G17">
        <f t="shared" si="1"/>
        <v>298.5</v>
      </c>
      <c r="H17">
        <f t="shared" si="2"/>
        <v>5.8850574712643686</v>
      </c>
      <c r="I17">
        <f t="shared" si="3"/>
        <v>50.721679687499993</v>
      </c>
    </row>
    <row r="18" spans="4:9" x14ac:dyDescent="0.3">
      <c r="D18">
        <v>17</v>
      </c>
      <c r="F18">
        <f t="shared" si="0"/>
        <v>0.14540059347181009</v>
      </c>
      <c r="G18">
        <f t="shared" si="1"/>
        <v>337</v>
      </c>
      <c r="H18">
        <f t="shared" si="2"/>
        <v>5.8979591836734695</v>
      </c>
      <c r="I18">
        <f t="shared" si="3"/>
        <v>57.13840830449827</v>
      </c>
    </row>
    <row r="19" spans="4:9" x14ac:dyDescent="0.3">
      <c r="D19">
        <v>18</v>
      </c>
      <c r="F19">
        <f t="shared" si="0"/>
        <v>0.14512571680635197</v>
      </c>
      <c r="G19">
        <f t="shared" si="1"/>
        <v>377.83333333333331</v>
      </c>
      <c r="H19">
        <f t="shared" si="2"/>
        <v>5.9088145896656545</v>
      </c>
      <c r="I19">
        <f t="shared" si="3"/>
        <v>63.944015775034281</v>
      </c>
    </row>
    <row r="20" spans="4:9" x14ac:dyDescent="0.3">
      <c r="D20">
        <v>19</v>
      </c>
      <c r="F20">
        <f t="shared" si="0"/>
        <v>0.14489311163895482</v>
      </c>
      <c r="G20">
        <f t="shared" si="1"/>
        <v>420.99999999999994</v>
      </c>
      <c r="H20">
        <f t="shared" si="2"/>
        <v>5.9180327868852478</v>
      </c>
      <c r="I20">
        <f t="shared" si="3"/>
        <v>71.138504155124622</v>
      </c>
    </row>
    <row r="21" spans="4:9" x14ac:dyDescent="0.3">
      <c r="D21">
        <v>20</v>
      </c>
      <c r="F21">
        <f t="shared" si="0"/>
        <v>0.14469453376205788</v>
      </c>
      <c r="G21">
        <f t="shared" si="1"/>
        <v>466.49999999999994</v>
      </c>
      <c r="H21">
        <f t="shared" si="2"/>
        <v>5.9259259259259274</v>
      </c>
      <c r="I21">
        <f t="shared" si="3"/>
        <v>78.721874999999969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Shreshtha Yaduka</dc:creator>
  <cp:lastModifiedBy>Shreshtha Yaduka</cp:lastModifiedBy>
  <dcterms:created xsi:type="dcterms:W3CDTF">2026-08-11T06:33:02Z</dcterms:created>
  <dcterms:modified xsi:type="dcterms:W3CDTF">2026-10-04T13:25:12Z</dcterms:modified>
</cp:coreProperties>
</file>