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Sem 7\Adv Gas Dynamics\"/>
    </mc:Choice>
  </mc:AlternateContent>
  <xr:revisionPtr revIDLastSave="0" documentId="13_ncr:1_{B5227DCB-234F-4A63-8CD0-41B770FDCAD7}" xr6:coauthVersionLast="47" xr6:coauthVersionMax="47" xr10:uidLastSave="{00000000-0000-0000-0000-000000000000}"/>
  <bookViews>
    <workbookView xWindow="-108" yWindow="-108" windowWidth="23256" windowHeight="12456" activeTab="1" xr2:uid="{15534547-AABA-499E-AF14-EFBEF5F9FE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C10" i="2"/>
  <c r="C11" i="2"/>
  <c r="C12" i="2"/>
  <c r="C13" i="2"/>
  <c r="C14" i="2"/>
  <c r="C2" i="2"/>
  <c r="C3" i="2"/>
  <c r="C4" i="2"/>
  <c r="C5" i="2"/>
  <c r="C6" i="2"/>
  <c r="C7" i="2"/>
  <c r="C8" i="2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 s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F124" i="1"/>
  <c r="E125" i="1"/>
  <c r="F125" i="1"/>
  <c r="E4" i="1"/>
  <c r="F4" i="1"/>
  <c r="E5" i="1"/>
  <c r="F5" i="1"/>
  <c r="E6" i="1"/>
  <c r="F6" i="1"/>
  <c r="E7" i="1"/>
  <c r="F7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/>
  <c r="E14" i="1"/>
  <c r="F14" i="1" s="1"/>
  <c r="E15" i="1"/>
  <c r="F15" i="1" s="1"/>
  <c r="E16" i="1"/>
  <c r="F16" i="1"/>
  <c r="E17" i="1"/>
  <c r="F17" i="1"/>
  <c r="E18" i="1"/>
  <c r="F18" i="1"/>
  <c r="E19" i="1"/>
  <c r="F19" i="1" s="1"/>
  <c r="E20" i="1"/>
  <c r="F20" i="1" s="1"/>
  <c r="E21" i="1"/>
  <c r="F21" i="1" s="1"/>
  <c r="E22" i="1"/>
  <c r="F2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E3" i="1"/>
  <c r="F3" i="1" s="1"/>
  <c r="E2" i="1"/>
  <c r="F2" i="1" s="1"/>
  <c r="D2" i="1"/>
</calcChain>
</file>

<file path=xl/sharedStrings.xml><?xml version="1.0" encoding="utf-8"?>
<sst xmlns="http://schemas.openxmlformats.org/spreadsheetml/2006/main" count="8" uniqueCount="7">
  <si>
    <t>M</t>
  </si>
  <si>
    <t>dA / A</t>
  </si>
  <si>
    <t>% change in A</t>
  </si>
  <si>
    <t>du/u</t>
  </si>
  <si>
    <t>% change in u</t>
  </si>
  <si>
    <t>Gamma</t>
  </si>
  <si>
    <t>A/A*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</si>
</sst>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change in u vs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dA/A = 0.1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Sheet1!$A$64:$A$94</c:f>
              <c:numCache>
                <c:formatCode>General</c:formatCode>
                <c:ptCount val="31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</c:numCache>
            </c:numRef>
          </c:xVal>
          <c:yVal>
            <c:numRef>
              <c:f>Sheet1!$F$64:$F$94</c:f>
              <c:numCache>
                <c:formatCode>General</c:formatCode>
                <c:ptCount val="31"/>
                <c:pt idx="0">
                  <c:v>-10.00100010001</c:v>
                </c:pt>
                <c:pt idx="1">
                  <c:v>-10.004001600640255</c:v>
                </c:pt>
                <c:pt idx="2">
                  <c:v>-10.025062656641603</c:v>
                </c:pt>
                <c:pt idx="3">
                  <c:v>-10.101010101010102</c:v>
                </c:pt>
                <c:pt idx="4">
                  <c:v>-10.416666666666668</c:v>
                </c:pt>
                <c:pt idx="5">
                  <c:v>-10.989010989010989</c:v>
                </c:pt>
                <c:pt idx="6">
                  <c:v>-11.904761904761905</c:v>
                </c:pt>
                <c:pt idx="7">
                  <c:v>-13.333333333333334</c:v>
                </c:pt>
                <c:pt idx="8">
                  <c:v>-15.625</c:v>
                </c:pt>
                <c:pt idx="9">
                  <c:v>-19.607843137254903</c:v>
                </c:pt>
                <c:pt idx="10">
                  <c:v>-27.777777777777786</c:v>
                </c:pt>
                <c:pt idx="11">
                  <c:v>-52.631578947368439</c:v>
                </c:pt>
                <c:pt idx="12">
                  <c:v>0</c:v>
                </c:pt>
                <c:pt idx="13">
                  <c:v>47.619047619047578</c:v>
                </c:pt>
                <c:pt idx="14">
                  <c:v>22.72727272727273</c:v>
                </c:pt>
                <c:pt idx="15">
                  <c:v>14.492753623188401</c:v>
                </c:pt>
                <c:pt idx="16">
                  <c:v>10.41666666666667</c:v>
                </c:pt>
                <c:pt idx="17">
                  <c:v>8.0000000000000018</c:v>
                </c:pt>
                <c:pt idx="18">
                  <c:v>6.4102564102564079</c:v>
                </c:pt>
                <c:pt idx="19">
                  <c:v>5.291005291005292</c:v>
                </c:pt>
                <c:pt idx="20">
                  <c:v>4.4642857142857144</c:v>
                </c:pt>
                <c:pt idx="21">
                  <c:v>3.8314176245210732</c:v>
                </c:pt>
                <c:pt idx="22">
                  <c:v>3.3333333333333335</c:v>
                </c:pt>
                <c:pt idx="23">
                  <c:v>1.25</c:v>
                </c:pt>
                <c:pt idx="24">
                  <c:v>0.66666666666666674</c:v>
                </c:pt>
                <c:pt idx="25">
                  <c:v>0.41666666666666669</c:v>
                </c:pt>
                <c:pt idx="26">
                  <c:v>0.2857142857142857</c:v>
                </c:pt>
                <c:pt idx="27">
                  <c:v>0.20833333333333334</c:v>
                </c:pt>
                <c:pt idx="28">
                  <c:v>0.15873015873015872</c:v>
                </c:pt>
                <c:pt idx="29">
                  <c:v>0.12500000000000003</c:v>
                </c:pt>
                <c:pt idx="30">
                  <c:v>0.10101010101010104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B6-4EF7-87FE-FCF3846B4AE1}"/>
            </c:ext>
          </c:extLst>
        </c:ser>
        <c:ser>
          <c:idx val="0"/>
          <c:order val="1"/>
          <c:tx>
            <c:v>dA/A = 0.3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Sheet1!$A$2:$A$32</c:f>
              <c:numCache>
                <c:formatCode>General</c:formatCode>
                <c:ptCount val="31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</c:numCache>
            </c:numRef>
          </c:xVal>
          <c:yVal>
            <c:numRef>
              <c:f>Sheet1!$F$2:$F$32</c:f>
              <c:numCache>
                <c:formatCode>General</c:formatCode>
                <c:ptCount val="31"/>
                <c:pt idx="0">
                  <c:v>-30.003000300029996</c:v>
                </c:pt>
                <c:pt idx="1">
                  <c:v>-30.012004801920767</c:v>
                </c:pt>
                <c:pt idx="2">
                  <c:v>-30.075187969924812</c:v>
                </c:pt>
                <c:pt idx="3">
                  <c:v>-30.303030303030305</c:v>
                </c:pt>
                <c:pt idx="4">
                  <c:v>-31.25</c:v>
                </c:pt>
                <c:pt idx="5">
                  <c:v>-32.967032967032964</c:v>
                </c:pt>
                <c:pt idx="6">
                  <c:v>-35.714285714285715</c:v>
                </c:pt>
                <c:pt idx="7">
                  <c:v>-40</c:v>
                </c:pt>
                <c:pt idx="8">
                  <c:v>-46.875</c:v>
                </c:pt>
                <c:pt idx="9">
                  <c:v>-58.823529411764696</c:v>
                </c:pt>
                <c:pt idx="10">
                  <c:v>-83.333333333333357</c:v>
                </c:pt>
                <c:pt idx="11">
                  <c:v>-157.89473684210529</c:v>
                </c:pt>
                <c:pt idx="12">
                  <c:v>0</c:v>
                </c:pt>
                <c:pt idx="13">
                  <c:v>142.85714285714272</c:v>
                </c:pt>
                <c:pt idx="14">
                  <c:v>68.181818181818187</c:v>
                </c:pt>
                <c:pt idx="15">
                  <c:v>43.478260869565204</c:v>
                </c:pt>
                <c:pt idx="16">
                  <c:v>31.250000000000007</c:v>
                </c:pt>
                <c:pt idx="17">
                  <c:v>24</c:v>
                </c:pt>
                <c:pt idx="18">
                  <c:v>19.230769230769226</c:v>
                </c:pt>
                <c:pt idx="19">
                  <c:v>15.873015873015875</c:v>
                </c:pt>
                <c:pt idx="20">
                  <c:v>13.392857142857142</c:v>
                </c:pt>
                <c:pt idx="21">
                  <c:v>11.494252873563218</c:v>
                </c:pt>
                <c:pt idx="22">
                  <c:v>10</c:v>
                </c:pt>
                <c:pt idx="23">
                  <c:v>3.75</c:v>
                </c:pt>
                <c:pt idx="24">
                  <c:v>2</c:v>
                </c:pt>
                <c:pt idx="25">
                  <c:v>1.25</c:v>
                </c:pt>
                <c:pt idx="26">
                  <c:v>0.85714285714285698</c:v>
                </c:pt>
                <c:pt idx="27">
                  <c:v>0.625</c:v>
                </c:pt>
                <c:pt idx="28">
                  <c:v>0.47619047619047616</c:v>
                </c:pt>
                <c:pt idx="29">
                  <c:v>0.375</c:v>
                </c:pt>
                <c:pt idx="30">
                  <c:v>0.30303030303030304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B6-4EF7-87FE-FCF3846B4AE1}"/>
            </c:ext>
          </c:extLst>
        </c:ser>
        <c:ser>
          <c:idx val="1"/>
          <c:order val="2"/>
          <c:tx>
            <c:v>dA/A = 0.6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Sheet1!$A$33:$A$63</c:f>
              <c:numCache>
                <c:formatCode>General</c:formatCode>
                <c:ptCount val="31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</c:numCache>
            </c:numRef>
          </c:xVal>
          <c:yVal>
            <c:numRef>
              <c:f>Sheet1!$F$33:$F$63</c:f>
              <c:numCache>
                <c:formatCode>General</c:formatCode>
                <c:ptCount val="31"/>
                <c:pt idx="0">
                  <c:v>-60.006000600059991</c:v>
                </c:pt>
                <c:pt idx="1">
                  <c:v>-60.024009603841534</c:v>
                </c:pt>
                <c:pt idx="2">
                  <c:v>-60.150375939849624</c:v>
                </c:pt>
                <c:pt idx="3">
                  <c:v>-60.606060606060609</c:v>
                </c:pt>
                <c:pt idx="4">
                  <c:v>-62.5</c:v>
                </c:pt>
                <c:pt idx="5">
                  <c:v>-65.934065934065927</c:v>
                </c:pt>
                <c:pt idx="6">
                  <c:v>-71.428571428571431</c:v>
                </c:pt>
                <c:pt idx="7">
                  <c:v>-80</c:v>
                </c:pt>
                <c:pt idx="8">
                  <c:v>-93.75</c:v>
                </c:pt>
                <c:pt idx="9">
                  <c:v>-117.64705882352939</c:v>
                </c:pt>
                <c:pt idx="10">
                  <c:v>-166.66666666666671</c:v>
                </c:pt>
                <c:pt idx="11">
                  <c:v>-315.78947368421058</c:v>
                </c:pt>
                <c:pt idx="12">
                  <c:v>0</c:v>
                </c:pt>
                <c:pt idx="13">
                  <c:v>285.71428571428544</c:v>
                </c:pt>
                <c:pt idx="14">
                  <c:v>136.36363636363637</c:v>
                </c:pt>
                <c:pt idx="15">
                  <c:v>86.956521739130409</c:v>
                </c:pt>
                <c:pt idx="16">
                  <c:v>62.500000000000014</c:v>
                </c:pt>
                <c:pt idx="17">
                  <c:v>48</c:v>
                </c:pt>
                <c:pt idx="18">
                  <c:v>38.461538461538453</c:v>
                </c:pt>
                <c:pt idx="19">
                  <c:v>31.74603174603175</c:v>
                </c:pt>
                <c:pt idx="20">
                  <c:v>26.785714285714285</c:v>
                </c:pt>
                <c:pt idx="21">
                  <c:v>22.988505747126435</c:v>
                </c:pt>
                <c:pt idx="22">
                  <c:v>20</c:v>
                </c:pt>
                <c:pt idx="23">
                  <c:v>7.5</c:v>
                </c:pt>
                <c:pt idx="24">
                  <c:v>4</c:v>
                </c:pt>
                <c:pt idx="25">
                  <c:v>2.5</c:v>
                </c:pt>
                <c:pt idx="26">
                  <c:v>1.714285714285714</c:v>
                </c:pt>
                <c:pt idx="27">
                  <c:v>1.25</c:v>
                </c:pt>
                <c:pt idx="28">
                  <c:v>0.95238095238095233</c:v>
                </c:pt>
                <c:pt idx="29">
                  <c:v>0.75</c:v>
                </c:pt>
                <c:pt idx="30">
                  <c:v>0.60606060606060608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B6-4EF7-87FE-FCF3846B4AE1}"/>
            </c:ext>
          </c:extLst>
        </c:ser>
        <c:ser>
          <c:idx val="3"/>
          <c:order val="3"/>
          <c:tx>
            <c:v>dA/A = 1.0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Sheet1!$A$95:$A$125</c:f>
              <c:numCache>
                <c:formatCode>General</c:formatCode>
                <c:ptCount val="31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</c:numCache>
            </c:numRef>
          </c:xVal>
          <c:yVal>
            <c:numRef>
              <c:f>Sheet1!$F$95:$F$125</c:f>
              <c:numCache>
                <c:formatCode>General</c:formatCode>
                <c:ptCount val="31"/>
                <c:pt idx="0">
                  <c:v>-100.0100010001</c:v>
                </c:pt>
                <c:pt idx="1">
                  <c:v>-100.04001600640255</c:v>
                </c:pt>
                <c:pt idx="2">
                  <c:v>-100.25062656641603</c:v>
                </c:pt>
                <c:pt idx="3">
                  <c:v>-101.01010101010101</c:v>
                </c:pt>
                <c:pt idx="4">
                  <c:v>-104.16666666666667</c:v>
                </c:pt>
                <c:pt idx="5">
                  <c:v>-109.89010989010988</c:v>
                </c:pt>
                <c:pt idx="6">
                  <c:v>-119.04761904761905</c:v>
                </c:pt>
                <c:pt idx="7">
                  <c:v>-133.33333333333331</c:v>
                </c:pt>
                <c:pt idx="8">
                  <c:v>-156.25</c:v>
                </c:pt>
                <c:pt idx="9">
                  <c:v>-196.07843137254901</c:v>
                </c:pt>
                <c:pt idx="10">
                  <c:v>-277.77777777777783</c:v>
                </c:pt>
                <c:pt idx="11">
                  <c:v>-526.31578947368439</c:v>
                </c:pt>
                <c:pt idx="12">
                  <c:v>0</c:v>
                </c:pt>
                <c:pt idx="13">
                  <c:v>476.19047619047575</c:v>
                </c:pt>
                <c:pt idx="14">
                  <c:v>227.27272727272728</c:v>
                </c:pt>
                <c:pt idx="15">
                  <c:v>144.92753623188401</c:v>
                </c:pt>
                <c:pt idx="16">
                  <c:v>104.1666666666667</c:v>
                </c:pt>
                <c:pt idx="17">
                  <c:v>80</c:v>
                </c:pt>
                <c:pt idx="18">
                  <c:v>64.102564102564088</c:v>
                </c:pt>
                <c:pt idx="19">
                  <c:v>52.910052910052919</c:v>
                </c:pt>
                <c:pt idx="20">
                  <c:v>44.642857142857139</c:v>
                </c:pt>
                <c:pt idx="21">
                  <c:v>38.314176245210732</c:v>
                </c:pt>
                <c:pt idx="22">
                  <c:v>33.333333333333329</c:v>
                </c:pt>
                <c:pt idx="23">
                  <c:v>12.5</c:v>
                </c:pt>
                <c:pt idx="24">
                  <c:v>6.666666666666667</c:v>
                </c:pt>
                <c:pt idx="25">
                  <c:v>4.1666666666666661</c:v>
                </c:pt>
                <c:pt idx="26">
                  <c:v>2.8571428571428572</c:v>
                </c:pt>
                <c:pt idx="27">
                  <c:v>2.083333333333333</c:v>
                </c:pt>
                <c:pt idx="28">
                  <c:v>1.5873015873015872</c:v>
                </c:pt>
                <c:pt idx="29">
                  <c:v>1.25</c:v>
                </c:pt>
                <c:pt idx="30">
                  <c:v>1.0101010101010102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B6-4EF7-87FE-FCF3846B4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678240"/>
        <c:axId val="1311282320"/>
      </c:scatterChart>
      <c:valAx>
        <c:axId val="146167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82320"/>
        <c:crosses val="autoZero"/>
        <c:crossBetween val="midCat"/>
      </c:valAx>
      <c:valAx>
        <c:axId val="131128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67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A/A* vs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Sheet2!$B$2:$B$22</c:f>
              <c:numCache>
                <c:formatCode>General</c:formatCode>
                <c:ptCount val="21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</c:numCache>
            </c:numRef>
          </c:xVal>
          <c:yVal>
            <c:numRef>
              <c:f>Sheet2!$C$2:$C$22</c:f>
              <c:numCache>
                <c:formatCode>General</c:formatCode>
                <c:ptCount val="21"/>
                <c:pt idx="0">
                  <c:v>57.873842662037482</c:v>
                </c:pt>
                <c:pt idx="1">
                  <c:v>28.942130185200014</c:v>
                </c:pt>
                <c:pt idx="2">
                  <c:v>11.591443867187499</c:v>
                </c:pt>
                <c:pt idx="3">
                  <c:v>5.8218287500000008</c:v>
                </c:pt>
                <c:pt idx="4">
                  <c:v>2.9635199999999999</c:v>
                </c:pt>
                <c:pt idx="5">
                  <c:v>1.3398437500000004</c:v>
                </c:pt>
                <c:pt idx="6">
                  <c:v>1</c:v>
                </c:pt>
                <c:pt idx="7">
                  <c:v>1.6875000000000004</c:v>
                </c:pt>
                <c:pt idx="8">
                  <c:v>4.2345679012345698</c:v>
                </c:pt>
                <c:pt idx="9">
                  <c:v>10.718750000000002</c:v>
                </c:pt>
                <c:pt idx="10">
                  <c:v>25.000000000000011</c:v>
                </c:pt>
                <c:pt idx="11">
                  <c:v>53.179783950617335</c:v>
                </c:pt>
                <c:pt idx="12">
                  <c:v>104.14285714285715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4D-451C-9AE6-757A890B9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420272"/>
        <c:axId val="1464197616"/>
      </c:scatterChart>
      <c:valAx>
        <c:axId val="155842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97616"/>
        <c:crosses val="autoZero"/>
        <c:crossBetween val="midCat"/>
      </c:valAx>
      <c:valAx>
        <c:axId val="14641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42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0</xdr:row>
      <xdr:rowOff>156210</xdr:rowOff>
    </xdr:from>
    <xdr:to>
      <xdr:col>22</xdr:col>
      <xdr:colOff>60960</xdr:colOff>
      <xdr:row>30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32383-D989-9798-AF33-E11BD3EDD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0</xdr:row>
      <xdr:rowOff>3810</xdr:rowOff>
    </xdr:from>
    <xdr:to>
      <xdr:col>13</xdr:col>
      <xdr:colOff>167640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616B2-5B3A-1948-F79B-4755A50FB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1E06-D16A-45DE-A275-F158508FC582}">
  <dimension ref="A1:F125"/>
  <sheetViews>
    <sheetView zoomScaleNormal="100" workbookViewId="0">
      <selection activeCell="W22" sqref="W22"/>
    </sheetView>
  </sheetViews>
  <sheetFormatPr defaultRowHeight="14.4" x14ac:dyDescent="0.3"/>
  <sheetData>
    <row r="1" spans="1:6" s="1" customFormat="1" x14ac:dyDescent="0.3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>
        <v>0.01</v>
      </c>
      <c r="C2">
        <v>0.3</v>
      </c>
      <c r="D2">
        <f>C2*100</f>
        <v>30</v>
      </c>
      <c r="E2">
        <f xml:space="preserve"> 1/(A2*A2 - 1) * C2</f>
        <v>-0.30003000300029997</v>
      </c>
      <c r="F2">
        <f xml:space="preserve"> E2*100</f>
        <v>-30.003000300029996</v>
      </c>
    </row>
    <row r="3" spans="1:6" x14ac:dyDescent="0.3">
      <c r="A3">
        <v>0.02</v>
      </c>
      <c r="C3">
        <v>0.3</v>
      </c>
      <c r="D3">
        <f t="shared" ref="D3:D66" si="0">C3*100</f>
        <v>30</v>
      </c>
      <c r="E3">
        <f t="shared" ref="E3:E32" si="1" xml:space="preserve"> 1/(A3*A3 - 1) * C3</f>
        <v>-0.30012004801920766</v>
      </c>
      <c r="F3">
        <f t="shared" ref="F3:F66" si="2" xml:space="preserve"> E3*100</f>
        <v>-30.012004801920767</v>
      </c>
    </row>
    <row r="4" spans="1:6" x14ac:dyDescent="0.3">
      <c r="A4">
        <v>0.05</v>
      </c>
      <c r="C4">
        <v>0.3</v>
      </c>
      <c r="D4">
        <f t="shared" si="0"/>
        <v>30</v>
      </c>
      <c r="E4">
        <f t="shared" si="1"/>
        <v>-0.3007518796992481</v>
      </c>
      <c r="F4">
        <f t="shared" si="2"/>
        <v>-30.075187969924812</v>
      </c>
    </row>
    <row r="5" spans="1:6" x14ac:dyDescent="0.3">
      <c r="A5">
        <v>0.1</v>
      </c>
      <c r="C5">
        <v>0.3</v>
      </c>
      <c r="D5">
        <f t="shared" si="0"/>
        <v>30</v>
      </c>
      <c r="E5">
        <f t="shared" ref="E5:E25" si="3" xml:space="preserve"> 1/(A5*A5 - 1) * C5</f>
        <v>-0.30303030303030304</v>
      </c>
      <c r="F5">
        <f t="shared" si="2"/>
        <v>-30.303030303030305</v>
      </c>
    </row>
    <row r="6" spans="1:6" x14ac:dyDescent="0.3">
      <c r="A6">
        <v>0.2</v>
      </c>
      <c r="C6">
        <v>0.3</v>
      </c>
      <c r="D6">
        <f t="shared" si="0"/>
        <v>30</v>
      </c>
      <c r="E6">
        <f t="shared" si="3"/>
        <v>-0.3125</v>
      </c>
      <c r="F6">
        <f t="shared" si="2"/>
        <v>-31.25</v>
      </c>
    </row>
    <row r="7" spans="1:6" x14ac:dyDescent="0.3">
      <c r="A7">
        <v>0.3</v>
      </c>
      <c r="C7">
        <v>0.3</v>
      </c>
      <c r="D7">
        <f t="shared" si="0"/>
        <v>30</v>
      </c>
      <c r="E7">
        <f t="shared" si="3"/>
        <v>-0.32967032967032961</v>
      </c>
      <c r="F7">
        <f t="shared" si="2"/>
        <v>-32.967032967032964</v>
      </c>
    </row>
    <row r="8" spans="1:6" x14ac:dyDescent="0.3">
      <c r="A8">
        <v>0.4</v>
      </c>
      <c r="C8">
        <v>0.3</v>
      </c>
      <c r="D8">
        <f t="shared" si="0"/>
        <v>30</v>
      </c>
      <c r="E8">
        <f t="shared" si="3"/>
        <v>-0.35714285714285715</v>
      </c>
      <c r="F8">
        <f t="shared" si="2"/>
        <v>-35.714285714285715</v>
      </c>
    </row>
    <row r="9" spans="1:6" x14ac:dyDescent="0.3">
      <c r="A9">
        <v>0.5</v>
      </c>
      <c r="C9">
        <v>0.3</v>
      </c>
      <c r="D9">
        <f t="shared" si="0"/>
        <v>30</v>
      </c>
      <c r="E9">
        <f t="shared" si="3"/>
        <v>-0.39999999999999997</v>
      </c>
      <c r="F9">
        <f t="shared" si="2"/>
        <v>-40</v>
      </c>
    </row>
    <row r="10" spans="1:6" x14ac:dyDescent="0.3">
      <c r="A10">
        <v>0.6</v>
      </c>
      <c r="C10">
        <v>0.3</v>
      </c>
      <c r="D10">
        <f t="shared" si="0"/>
        <v>30</v>
      </c>
      <c r="E10">
        <f t="shared" si="3"/>
        <v>-0.46875</v>
      </c>
      <c r="F10">
        <f t="shared" si="2"/>
        <v>-46.875</v>
      </c>
    </row>
    <row r="11" spans="1:6" x14ac:dyDescent="0.3">
      <c r="A11">
        <v>0.7</v>
      </c>
      <c r="C11">
        <v>0.3</v>
      </c>
      <c r="D11">
        <f t="shared" si="0"/>
        <v>30</v>
      </c>
      <c r="E11">
        <f t="shared" si="3"/>
        <v>-0.58823529411764697</v>
      </c>
      <c r="F11">
        <f t="shared" si="2"/>
        <v>-58.823529411764696</v>
      </c>
    </row>
    <row r="12" spans="1:6" x14ac:dyDescent="0.3">
      <c r="A12">
        <v>0.8</v>
      </c>
      <c r="C12">
        <v>0.3</v>
      </c>
      <c r="D12">
        <f t="shared" si="0"/>
        <v>30</v>
      </c>
      <c r="E12">
        <f t="shared" si="3"/>
        <v>-0.83333333333333359</v>
      </c>
      <c r="F12">
        <f t="shared" si="2"/>
        <v>-83.333333333333357</v>
      </c>
    </row>
    <row r="13" spans="1:6" x14ac:dyDescent="0.3">
      <c r="A13">
        <v>0.9</v>
      </c>
      <c r="C13">
        <v>0.3</v>
      </c>
      <c r="D13">
        <f t="shared" si="0"/>
        <v>30</v>
      </c>
      <c r="E13">
        <f t="shared" si="3"/>
        <v>-1.5789473684210529</v>
      </c>
      <c r="F13">
        <f t="shared" si="2"/>
        <v>-157.89473684210529</v>
      </c>
    </row>
    <row r="14" spans="1:6" x14ac:dyDescent="0.3">
      <c r="A14">
        <v>1</v>
      </c>
      <c r="C14">
        <v>0.3</v>
      </c>
      <c r="D14">
        <f t="shared" si="0"/>
        <v>30</v>
      </c>
      <c r="E14" t="e">
        <f t="shared" si="3"/>
        <v>#DIV/0!</v>
      </c>
      <c r="F14" t="e">
        <f t="shared" si="2"/>
        <v>#DIV/0!</v>
      </c>
    </row>
    <row r="15" spans="1:6" x14ac:dyDescent="0.3">
      <c r="A15">
        <v>1.1000000000000001</v>
      </c>
      <c r="C15">
        <v>0.3</v>
      </c>
      <c r="D15">
        <f t="shared" si="0"/>
        <v>30</v>
      </c>
      <c r="E15">
        <f t="shared" si="3"/>
        <v>1.4285714285714273</v>
      </c>
      <c r="F15">
        <f t="shared" si="2"/>
        <v>142.85714285714272</v>
      </c>
    </row>
    <row r="16" spans="1:6" x14ac:dyDescent="0.3">
      <c r="A16">
        <v>1.2</v>
      </c>
      <c r="C16">
        <v>0.3</v>
      </c>
      <c r="D16">
        <f t="shared" si="0"/>
        <v>30</v>
      </c>
      <c r="E16">
        <f t="shared" si="3"/>
        <v>0.68181818181818188</v>
      </c>
      <c r="F16">
        <f t="shared" si="2"/>
        <v>68.181818181818187</v>
      </c>
    </row>
    <row r="17" spans="1:6" x14ac:dyDescent="0.3">
      <c r="A17">
        <v>1.3</v>
      </c>
      <c r="C17">
        <v>0.3</v>
      </c>
      <c r="D17">
        <f t="shared" si="0"/>
        <v>30</v>
      </c>
      <c r="E17">
        <f t="shared" si="3"/>
        <v>0.43478260869565205</v>
      </c>
      <c r="F17">
        <f t="shared" si="2"/>
        <v>43.478260869565204</v>
      </c>
    </row>
    <row r="18" spans="1:6" x14ac:dyDescent="0.3">
      <c r="A18">
        <v>1.4</v>
      </c>
      <c r="C18">
        <v>0.3</v>
      </c>
      <c r="D18">
        <f t="shared" si="0"/>
        <v>30</v>
      </c>
      <c r="E18">
        <f t="shared" si="3"/>
        <v>0.31250000000000006</v>
      </c>
      <c r="F18">
        <f t="shared" si="2"/>
        <v>31.250000000000007</v>
      </c>
    </row>
    <row r="19" spans="1:6" x14ac:dyDescent="0.3">
      <c r="A19">
        <v>1.5</v>
      </c>
      <c r="C19">
        <v>0.3</v>
      </c>
      <c r="D19">
        <f t="shared" si="0"/>
        <v>30</v>
      </c>
      <c r="E19">
        <f t="shared" si="3"/>
        <v>0.24</v>
      </c>
      <c r="F19">
        <f t="shared" si="2"/>
        <v>24</v>
      </c>
    </row>
    <row r="20" spans="1:6" x14ac:dyDescent="0.3">
      <c r="A20">
        <v>1.6</v>
      </c>
      <c r="C20">
        <v>0.3</v>
      </c>
      <c r="D20">
        <f t="shared" si="0"/>
        <v>30</v>
      </c>
      <c r="E20">
        <f t="shared" si="3"/>
        <v>0.19230769230769226</v>
      </c>
      <c r="F20">
        <f t="shared" si="2"/>
        <v>19.230769230769226</v>
      </c>
    </row>
    <row r="21" spans="1:6" x14ac:dyDescent="0.3">
      <c r="A21">
        <v>1.7</v>
      </c>
      <c r="C21">
        <v>0.3</v>
      </c>
      <c r="D21">
        <f t="shared" si="0"/>
        <v>30</v>
      </c>
      <c r="E21">
        <f t="shared" si="3"/>
        <v>0.15873015873015875</v>
      </c>
      <c r="F21">
        <f t="shared" si="2"/>
        <v>15.873015873015875</v>
      </c>
    </row>
    <row r="22" spans="1:6" x14ac:dyDescent="0.3">
      <c r="A22">
        <v>1.8</v>
      </c>
      <c r="C22">
        <v>0.3</v>
      </c>
      <c r="D22">
        <f t="shared" si="0"/>
        <v>30</v>
      </c>
      <c r="E22">
        <f t="shared" si="3"/>
        <v>0.13392857142857142</v>
      </c>
      <c r="F22">
        <f t="shared" si="2"/>
        <v>13.392857142857142</v>
      </c>
    </row>
    <row r="23" spans="1:6" x14ac:dyDescent="0.3">
      <c r="A23">
        <v>1.9</v>
      </c>
      <c r="C23">
        <v>0.3</v>
      </c>
      <c r="D23">
        <f t="shared" si="0"/>
        <v>30</v>
      </c>
      <c r="E23">
        <f t="shared" si="3"/>
        <v>0.11494252873563218</v>
      </c>
      <c r="F23">
        <f t="shared" si="2"/>
        <v>11.494252873563218</v>
      </c>
    </row>
    <row r="24" spans="1:6" x14ac:dyDescent="0.3">
      <c r="A24">
        <v>2</v>
      </c>
      <c r="C24">
        <v>0.3</v>
      </c>
      <c r="D24">
        <f t="shared" si="0"/>
        <v>30</v>
      </c>
      <c r="E24">
        <f t="shared" si="3"/>
        <v>9.9999999999999992E-2</v>
      </c>
      <c r="F24">
        <f t="shared" si="2"/>
        <v>10</v>
      </c>
    </row>
    <row r="25" spans="1:6" x14ac:dyDescent="0.3">
      <c r="A25">
        <v>3</v>
      </c>
      <c r="C25">
        <v>0.3</v>
      </c>
      <c r="D25">
        <f t="shared" si="0"/>
        <v>30</v>
      </c>
      <c r="E25">
        <f t="shared" si="3"/>
        <v>3.7499999999999999E-2</v>
      </c>
      <c r="F25">
        <f t="shared" si="2"/>
        <v>3.75</v>
      </c>
    </row>
    <row r="26" spans="1:6" x14ac:dyDescent="0.3">
      <c r="A26">
        <v>4</v>
      </c>
      <c r="C26">
        <v>0.3</v>
      </c>
      <c r="D26">
        <f t="shared" si="0"/>
        <v>30</v>
      </c>
      <c r="E26">
        <f t="shared" ref="E26:E89" si="4" xml:space="preserve"> 1/(A26*A26 - 1) * C26</f>
        <v>0.02</v>
      </c>
      <c r="F26">
        <f t="shared" si="2"/>
        <v>2</v>
      </c>
    </row>
    <row r="27" spans="1:6" x14ac:dyDescent="0.3">
      <c r="A27">
        <v>5</v>
      </c>
      <c r="C27">
        <v>0.3</v>
      </c>
      <c r="D27">
        <f t="shared" si="0"/>
        <v>30</v>
      </c>
      <c r="E27">
        <f t="shared" si="4"/>
        <v>1.2499999999999999E-2</v>
      </c>
      <c r="F27">
        <f t="shared" si="2"/>
        <v>1.25</v>
      </c>
    </row>
    <row r="28" spans="1:6" x14ac:dyDescent="0.3">
      <c r="A28">
        <v>6</v>
      </c>
      <c r="C28">
        <v>0.3</v>
      </c>
      <c r="D28">
        <f t="shared" si="0"/>
        <v>30</v>
      </c>
      <c r="E28">
        <f t="shared" si="4"/>
        <v>8.5714285714285701E-3</v>
      </c>
      <c r="F28">
        <f t="shared" si="2"/>
        <v>0.85714285714285698</v>
      </c>
    </row>
    <row r="29" spans="1:6" x14ac:dyDescent="0.3">
      <c r="A29">
        <v>7</v>
      </c>
      <c r="C29">
        <v>0.3</v>
      </c>
      <c r="D29">
        <f t="shared" si="0"/>
        <v>30</v>
      </c>
      <c r="E29">
        <f t="shared" si="4"/>
        <v>6.2499999999999995E-3</v>
      </c>
      <c r="F29">
        <f t="shared" si="2"/>
        <v>0.625</v>
      </c>
    </row>
    <row r="30" spans="1:6" x14ac:dyDescent="0.3">
      <c r="A30">
        <v>8</v>
      </c>
      <c r="C30">
        <v>0.3</v>
      </c>
      <c r="D30">
        <f t="shared" si="0"/>
        <v>30</v>
      </c>
      <c r="E30">
        <f t="shared" si="4"/>
        <v>4.7619047619047615E-3</v>
      </c>
      <c r="F30">
        <f t="shared" si="2"/>
        <v>0.47619047619047616</v>
      </c>
    </row>
    <row r="31" spans="1:6" x14ac:dyDescent="0.3">
      <c r="A31">
        <v>9</v>
      </c>
      <c r="C31">
        <v>0.3</v>
      </c>
      <c r="D31">
        <f t="shared" si="0"/>
        <v>30</v>
      </c>
      <c r="E31">
        <f t="shared" si="4"/>
        <v>3.7499999999999999E-3</v>
      </c>
      <c r="F31">
        <f t="shared" si="2"/>
        <v>0.375</v>
      </c>
    </row>
    <row r="32" spans="1:6" x14ac:dyDescent="0.3">
      <c r="A32">
        <v>10</v>
      </c>
      <c r="C32">
        <v>0.3</v>
      </c>
      <c r="D32">
        <f t="shared" si="0"/>
        <v>30</v>
      </c>
      <c r="E32">
        <f t="shared" si="4"/>
        <v>3.0303030303030303E-3</v>
      </c>
      <c r="F32">
        <f t="shared" si="2"/>
        <v>0.30303030303030304</v>
      </c>
    </row>
    <row r="33" spans="1:6" x14ac:dyDescent="0.3">
      <c r="A33">
        <v>0.01</v>
      </c>
      <c r="C33">
        <v>0.6</v>
      </c>
      <c r="D33">
        <f t="shared" si="0"/>
        <v>60</v>
      </c>
      <c r="E33">
        <f t="shared" si="4"/>
        <v>-0.60006000600059994</v>
      </c>
      <c r="F33">
        <f t="shared" si="2"/>
        <v>-60.006000600059991</v>
      </c>
    </row>
    <row r="34" spans="1:6" x14ac:dyDescent="0.3">
      <c r="A34">
        <v>0.02</v>
      </c>
      <c r="C34">
        <v>0.6</v>
      </c>
      <c r="D34">
        <f t="shared" si="0"/>
        <v>60</v>
      </c>
      <c r="E34">
        <f t="shared" si="4"/>
        <v>-0.60024009603841533</v>
      </c>
      <c r="F34">
        <f t="shared" si="2"/>
        <v>-60.024009603841534</v>
      </c>
    </row>
    <row r="35" spans="1:6" x14ac:dyDescent="0.3">
      <c r="A35">
        <v>0.05</v>
      </c>
      <c r="C35">
        <v>0.6</v>
      </c>
      <c r="D35">
        <f t="shared" si="0"/>
        <v>60</v>
      </c>
      <c r="E35">
        <f t="shared" si="4"/>
        <v>-0.60150375939849621</v>
      </c>
      <c r="F35">
        <f t="shared" si="2"/>
        <v>-60.150375939849624</v>
      </c>
    </row>
    <row r="36" spans="1:6" x14ac:dyDescent="0.3">
      <c r="A36">
        <v>0.1</v>
      </c>
      <c r="C36">
        <v>0.6</v>
      </c>
      <c r="D36">
        <f t="shared" si="0"/>
        <v>60</v>
      </c>
      <c r="E36">
        <f t="shared" si="4"/>
        <v>-0.60606060606060608</v>
      </c>
      <c r="F36">
        <f t="shared" si="2"/>
        <v>-60.606060606060609</v>
      </c>
    </row>
    <row r="37" spans="1:6" x14ac:dyDescent="0.3">
      <c r="A37">
        <v>0.2</v>
      </c>
      <c r="C37">
        <v>0.6</v>
      </c>
      <c r="D37">
        <f t="shared" si="0"/>
        <v>60</v>
      </c>
      <c r="E37">
        <f t="shared" si="4"/>
        <v>-0.625</v>
      </c>
      <c r="F37">
        <f t="shared" si="2"/>
        <v>-62.5</v>
      </c>
    </row>
    <row r="38" spans="1:6" x14ac:dyDescent="0.3">
      <c r="A38">
        <v>0.3</v>
      </c>
      <c r="C38">
        <v>0.6</v>
      </c>
      <c r="D38">
        <f t="shared" si="0"/>
        <v>60</v>
      </c>
      <c r="E38">
        <f t="shared" si="4"/>
        <v>-0.65934065934065922</v>
      </c>
      <c r="F38">
        <f t="shared" si="2"/>
        <v>-65.934065934065927</v>
      </c>
    </row>
    <row r="39" spans="1:6" x14ac:dyDescent="0.3">
      <c r="A39">
        <v>0.4</v>
      </c>
      <c r="C39">
        <v>0.6</v>
      </c>
      <c r="D39">
        <f t="shared" si="0"/>
        <v>60</v>
      </c>
      <c r="E39">
        <f t="shared" si="4"/>
        <v>-0.7142857142857143</v>
      </c>
      <c r="F39">
        <f t="shared" si="2"/>
        <v>-71.428571428571431</v>
      </c>
    </row>
    <row r="40" spans="1:6" x14ac:dyDescent="0.3">
      <c r="A40">
        <v>0.5</v>
      </c>
      <c r="C40">
        <v>0.6</v>
      </c>
      <c r="D40">
        <f t="shared" si="0"/>
        <v>60</v>
      </c>
      <c r="E40">
        <f t="shared" si="4"/>
        <v>-0.79999999999999993</v>
      </c>
      <c r="F40">
        <f t="shared" si="2"/>
        <v>-80</v>
      </c>
    </row>
    <row r="41" spans="1:6" x14ac:dyDescent="0.3">
      <c r="A41">
        <v>0.6</v>
      </c>
      <c r="C41">
        <v>0.6</v>
      </c>
      <c r="D41">
        <f t="shared" si="0"/>
        <v>60</v>
      </c>
      <c r="E41">
        <f t="shared" si="4"/>
        <v>-0.9375</v>
      </c>
      <c r="F41">
        <f t="shared" si="2"/>
        <v>-93.75</v>
      </c>
    </row>
    <row r="42" spans="1:6" x14ac:dyDescent="0.3">
      <c r="A42">
        <v>0.7</v>
      </c>
      <c r="C42">
        <v>0.6</v>
      </c>
      <c r="D42">
        <f t="shared" si="0"/>
        <v>60</v>
      </c>
      <c r="E42">
        <f t="shared" si="4"/>
        <v>-1.1764705882352939</v>
      </c>
      <c r="F42">
        <f t="shared" si="2"/>
        <v>-117.64705882352939</v>
      </c>
    </row>
    <row r="43" spans="1:6" x14ac:dyDescent="0.3">
      <c r="A43">
        <v>0.8</v>
      </c>
      <c r="C43">
        <v>0.6</v>
      </c>
      <c r="D43">
        <f t="shared" si="0"/>
        <v>60</v>
      </c>
      <c r="E43">
        <f t="shared" si="4"/>
        <v>-1.6666666666666672</v>
      </c>
      <c r="F43">
        <f t="shared" si="2"/>
        <v>-166.66666666666671</v>
      </c>
    </row>
    <row r="44" spans="1:6" x14ac:dyDescent="0.3">
      <c r="A44">
        <v>0.9</v>
      </c>
      <c r="C44">
        <v>0.6</v>
      </c>
      <c r="D44">
        <f t="shared" si="0"/>
        <v>60</v>
      </c>
      <c r="E44">
        <f t="shared" si="4"/>
        <v>-3.1578947368421058</v>
      </c>
      <c r="F44">
        <f t="shared" si="2"/>
        <v>-315.78947368421058</v>
      </c>
    </row>
    <row r="45" spans="1:6" x14ac:dyDescent="0.3">
      <c r="A45">
        <v>1</v>
      </c>
      <c r="C45">
        <v>0.6</v>
      </c>
      <c r="D45">
        <f t="shared" si="0"/>
        <v>60</v>
      </c>
      <c r="E45" t="e">
        <f t="shared" si="4"/>
        <v>#DIV/0!</v>
      </c>
      <c r="F45" t="e">
        <f t="shared" si="2"/>
        <v>#DIV/0!</v>
      </c>
    </row>
    <row r="46" spans="1:6" x14ac:dyDescent="0.3">
      <c r="A46">
        <v>1.1000000000000001</v>
      </c>
      <c r="C46">
        <v>0.6</v>
      </c>
      <c r="D46">
        <f t="shared" si="0"/>
        <v>60</v>
      </c>
      <c r="E46">
        <f t="shared" si="4"/>
        <v>2.8571428571428545</v>
      </c>
      <c r="F46">
        <f t="shared" si="2"/>
        <v>285.71428571428544</v>
      </c>
    </row>
    <row r="47" spans="1:6" x14ac:dyDescent="0.3">
      <c r="A47">
        <v>1.2</v>
      </c>
      <c r="C47">
        <v>0.6</v>
      </c>
      <c r="D47">
        <f t="shared" si="0"/>
        <v>60</v>
      </c>
      <c r="E47">
        <f t="shared" si="4"/>
        <v>1.3636363636363638</v>
      </c>
      <c r="F47">
        <f t="shared" si="2"/>
        <v>136.36363636363637</v>
      </c>
    </row>
    <row r="48" spans="1:6" x14ac:dyDescent="0.3">
      <c r="A48">
        <v>1.3</v>
      </c>
      <c r="C48">
        <v>0.6</v>
      </c>
      <c r="D48">
        <f t="shared" si="0"/>
        <v>60</v>
      </c>
      <c r="E48">
        <f t="shared" si="4"/>
        <v>0.8695652173913041</v>
      </c>
      <c r="F48">
        <f t="shared" si="2"/>
        <v>86.956521739130409</v>
      </c>
    </row>
    <row r="49" spans="1:6" x14ac:dyDescent="0.3">
      <c r="A49">
        <v>1.4</v>
      </c>
      <c r="C49">
        <v>0.6</v>
      </c>
      <c r="D49">
        <f t="shared" si="0"/>
        <v>60</v>
      </c>
      <c r="E49">
        <f t="shared" si="4"/>
        <v>0.62500000000000011</v>
      </c>
      <c r="F49">
        <f t="shared" si="2"/>
        <v>62.500000000000014</v>
      </c>
    </row>
    <row r="50" spans="1:6" x14ac:dyDescent="0.3">
      <c r="A50">
        <v>1.5</v>
      </c>
      <c r="C50">
        <v>0.6</v>
      </c>
      <c r="D50">
        <f t="shared" si="0"/>
        <v>60</v>
      </c>
      <c r="E50">
        <f t="shared" si="4"/>
        <v>0.48</v>
      </c>
      <c r="F50">
        <f t="shared" si="2"/>
        <v>48</v>
      </c>
    </row>
    <row r="51" spans="1:6" x14ac:dyDescent="0.3">
      <c r="A51">
        <v>1.6</v>
      </c>
      <c r="C51">
        <v>0.6</v>
      </c>
      <c r="D51">
        <f t="shared" si="0"/>
        <v>60</v>
      </c>
      <c r="E51">
        <f t="shared" si="4"/>
        <v>0.38461538461538453</v>
      </c>
      <c r="F51">
        <f t="shared" si="2"/>
        <v>38.461538461538453</v>
      </c>
    </row>
    <row r="52" spans="1:6" x14ac:dyDescent="0.3">
      <c r="A52">
        <v>1.7</v>
      </c>
      <c r="C52">
        <v>0.6</v>
      </c>
      <c r="D52">
        <f t="shared" si="0"/>
        <v>60</v>
      </c>
      <c r="E52">
        <f t="shared" si="4"/>
        <v>0.3174603174603175</v>
      </c>
      <c r="F52">
        <f t="shared" si="2"/>
        <v>31.74603174603175</v>
      </c>
    </row>
    <row r="53" spans="1:6" x14ac:dyDescent="0.3">
      <c r="A53">
        <v>1.8</v>
      </c>
      <c r="C53">
        <v>0.6</v>
      </c>
      <c r="D53">
        <f t="shared" si="0"/>
        <v>60</v>
      </c>
      <c r="E53">
        <f t="shared" si="4"/>
        <v>0.26785714285714285</v>
      </c>
      <c r="F53">
        <f t="shared" si="2"/>
        <v>26.785714285714285</v>
      </c>
    </row>
    <row r="54" spans="1:6" x14ac:dyDescent="0.3">
      <c r="A54">
        <v>1.9</v>
      </c>
      <c r="C54">
        <v>0.6</v>
      </c>
      <c r="D54">
        <f t="shared" si="0"/>
        <v>60</v>
      </c>
      <c r="E54">
        <f t="shared" si="4"/>
        <v>0.22988505747126436</v>
      </c>
      <c r="F54">
        <f t="shared" si="2"/>
        <v>22.988505747126435</v>
      </c>
    </row>
    <row r="55" spans="1:6" x14ac:dyDescent="0.3">
      <c r="A55">
        <v>2</v>
      </c>
      <c r="C55">
        <v>0.6</v>
      </c>
      <c r="D55">
        <f t="shared" si="0"/>
        <v>60</v>
      </c>
      <c r="E55">
        <f t="shared" si="4"/>
        <v>0.19999999999999998</v>
      </c>
      <c r="F55">
        <f t="shared" si="2"/>
        <v>20</v>
      </c>
    </row>
    <row r="56" spans="1:6" x14ac:dyDescent="0.3">
      <c r="A56">
        <v>3</v>
      </c>
      <c r="C56">
        <v>0.6</v>
      </c>
      <c r="D56">
        <f t="shared" si="0"/>
        <v>60</v>
      </c>
      <c r="E56">
        <f t="shared" si="4"/>
        <v>7.4999999999999997E-2</v>
      </c>
      <c r="F56">
        <f t="shared" si="2"/>
        <v>7.5</v>
      </c>
    </row>
    <row r="57" spans="1:6" x14ac:dyDescent="0.3">
      <c r="A57">
        <v>4</v>
      </c>
      <c r="C57">
        <v>0.6</v>
      </c>
      <c r="D57">
        <f t="shared" si="0"/>
        <v>60</v>
      </c>
      <c r="E57">
        <f t="shared" si="4"/>
        <v>0.04</v>
      </c>
      <c r="F57">
        <f t="shared" si="2"/>
        <v>4</v>
      </c>
    </row>
    <row r="58" spans="1:6" x14ac:dyDescent="0.3">
      <c r="A58">
        <v>5</v>
      </c>
      <c r="C58">
        <v>0.6</v>
      </c>
      <c r="D58">
        <f t="shared" si="0"/>
        <v>60</v>
      </c>
      <c r="E58">
        <f t="shared" si="4"/>
        <v>2.4999999999999998E-2</v>
      </c>
      <c r="F58">
        <f t="shared" si="2"/>
        <v>2.5</v>
      </c>
    </row>
    <row r="59" spans="1:6" x14ac:dyDescent="0.3">
      <c r="A59">
        <v>6</v>
      </c>
      <c r="C59">
        <v>0.6</v>
      </c>
      <c r="D59">
        <f t="shared" si="0"/>
        <v>60</v>
      </c>
      <c r="E59">
        <f t="shared" si="4"/>
        <v>1.714285714285714E-2</v>
      </c>
      <c r="F59">
        <f t="shared" si="2"/>
        <v>1.714285714285714</v>
      </c>
    </row>
    <row r="60" spans="1:6" x14ac:dyDescent="0.3">
      <c r="A60">
        <v>7</v>
      </c>
      <c r="C60">
        <v>0.6</v>
      </c>
      <c r="D60">
        <f t="shared" si="0"/>
        <v>60</v>
      </c>
      <c r="E60">
        <f t="shared" si="4"/>
        <v>1.2499999999999999E-2</v>
      </c>
      <c r="F60">
        <f t="shared" si="2"/>
        <v>1.25</v>
      </c>
    </row>
    <row r="61" spans="1:6" x14ac:dyDescent="0.3">
      <c r="A61">
        <v>8</v>
      </c>
      <c r="C61">
        <v>0.6</v>
      </c>
      <c r="D61">
        <f t="shared" si="0"/>
        <v>60</v>
      </c>
      <c r="E61">
        <f t="shared" si="4"/>
        <v>9.5238095238095229E-3</v>
      </c>
      <c r="F61">
        <f t="shared" si="2"/>
        <v>0.95238095238095233</v>
      </c>
    </row>
    <row r="62" spans="1:6" x14ac:dyDescent="0.3">
      <c r="A62">
        <v>9</v>
      </c>
      <c r="C62">
        <v>0.6</v>
      </c>
      <c r="D62">
        <f t="shared" si="0"/>
        <v>60</v>
      </c>
      <c r="E62">
        <f t="shared" si="4"/>
        <v>7.4999999999999997E-3</v>
      </c>
      <c r="F62">
        <f t="shared" si="2"/>
        <v>0.75</v>
      </c>
    </row>
    <row r="63" spans="1:6" x14ac:dyDescent="0.3">
      <c r="A63">
        <v>10</v>
      </c>
      <c r="C63">
        <v>0.6</v>
      </c>
      <c r="D63">
        <f t="shared" si="0"/>
        <v>60</v>
      </c>
      <c r="E63">
        <f t="shared" si="4"/>
        <v>6.0606060606060606E-3</v>
      </c>
      <c r="F63">
        <f t="shared" si="2"/>
        <v>0.60606060606060608</v>
      </c>
    </row>
    <row r="64" spans="1:6" x14ac:dyDescent="0.3">
      <c r="A64">
        <v>0.01</v>
      </c>
      <c r="C64">
        <v>0.1</v>
      </c>
      <c r="D64">
        <f t="shared" si="0"/>
        <v>10</v>
      </c>
      <c r="E64">
        <f t="shared" si="4"/>
        <v>-0.1000100010001</v>
      </c>
      <c r="F64">
        <f t="shared" si="2"/>
        <v>-10.00100010001</v>
      </c>
    </row>
    <row r="65" spans="1:6" x14ac:dyDescent="0.3">
      <c r="A65">
        <v>0.02</v>
      </c>
      <c r="C65">
        <v>0.1</v>
      </c>
      <c r="D65">
        <f t="shared" si="0"/>
        <v>10</v>
      </c>
      <c r="E65">
        <f t="shared" si="4"/>
        <v>-0.10004001600640255</v>
      </c>
      <c r="F65">
        <f t="shared" si="2"/>
        <v>-10.004001600640255</v>
      </c>
    </row>
    <row r="66" spans="1:6" x14ac:dyDescent="0.3">
      <c r="A66">
        <v>0.05</v>
      </c>
      <c r="C66">
        <v>0.1</v>
      </c>
      <c r="D66">
        <f t="shared" si="0"/>
        <v>10</v>
      </c>
      <c r="E66">
        <f t="shared" si="4"/>
        <v>-0.10025062656641603</v>
      </c>
      <c r="F66">
        <f t="shared" si="2"/>
        <v>-10.025062656641603</v>
      </c>
    </row>
    <row r="67" spans="1:6" x14ac:dyDescent="0.3">
      <c r="A67">
        <v>0.1</v>
      </c>
      <c r="C67">
        <v>0.1</v>
      </c>
      <c r="D67">
        <f t="shared" ref="D67:D125" si="5">C67*100</f>
        <v>10</v>
      </c>
      <c r="E67">
        <f t="shared" si="4"/>
        <v>-0.10101010101010102</v>
      </c>
      <c r="F67">
        <f t="shared" ref="F67:F125" si="6" xml:space="preserve"> E67*100</f>
        <v>-10.101010101010102</v>
      </c>
    </row>
    <row r="68" spans="1:6" x14ac:dyDescent="0.3">
      <c r="A68">
        <v>0.2</v>
      </c>
      <c r="C68">
        <v>0.1</v>
      </c>
      <c r="D68">
        <f t="shared" si="5"/>
        <v>10</v>
      </c>
      <c r="E68">
        <f t="shared" si="4"/>
        <v>-0.10416666666666669</v>
      </c>
      <c r="F68">
        <f t="shared" si="6"/>
        <v>-10.416666666666668</v>
      </c>
    </row>
    <row r="69" spans="1:6" x14ac:dyDescent="0.3">
      <c r="A69">
        <v>0.3</v>
      </c>
      <c r="C69">
        <v>0.1</v>
      </c>
      <c r="D69">
        <f t="shared" si="5"/>
        <v>10</v>
      </c>
      <c r="E69">
        <f t="shared" si="4"/>
        <v>-0.10989010989010989</v>
      </c>
      <c r="F69">
        <f t="shared" si="6"/>
        <v>-10.989010989010989</v>
      </c>
    </row>
    <row r="70" spans="1:6" x14ac:dyDescent="0.3">
      <c r="A70">
        <v>0.4</v>
      </c>
      <c r="C70">
        <v>0.1</v>
      </c>
      <c r="D70">
        <f t="shared" si="5"/>
        <v>10</v>
      </c>
      <c r="E70">
        <f t="shared" si="4"/>
        <v>-0.11904761904761905</v>
      </c>
      <c r="F70">
        <f t="shared" si="6"/>
        <v>-11.904761904761905</v>
      </c>
    </row>
    <row r="71" spans="1:6" x14ac:dyDescent="0.3">
      <c r="A71">
        <v>0.5</v>
      </c>
      <c r="C71">
        <v>0.1</v>
      </c>
      <c r="D71">
        <f t="shared" si="5"/>
        <v>10</v>
      </c>
      <c r="E71">
        <f t="shared" si="4"/>
        <v>-0.13333333333333333</v>
      </c>
      <c r="F71">
        <f t="shared" si="6"/>
        <v>-13.333333333333334</v>
      </c>
    </row>
    <row r="72" spans="1:6" x14ac:dyDescent="0.3">
      <c r="A72">
        <v>0.6</v>
      </c>
      <c r="C72">
        <v>0.1</v>
      </c>
      <c r="D72">
        <f t="shared" si="5"/>
        <v>10</v>
      </c>
      <c r="E72">
        <f t="shared" si="4"/>
        <v>-0.15625</v>
      </c>
      <c r="F72">
        <f t="shared" si="6"/>
        <v>-15.625</v>
      </c>
    </row>
    <row r="73" spans="1:6" x14ac:dyDescent="0.3">
      <c r="A73">
        <v>0.7</v>
      </c>
      <c r="C73">
        <v>0.1</v>
      </c>
      <c r="D73">
        <f t="shared" si="5"/>
        <v>10</v>
      </c>
      <c r="E73">
        <f t="shared" si="4"/>
        <v>-0.19607843137254902</v>
      </c>
      <c r="F73">
        <f t="shared" si="6"/>
        <v>-19.607843137254903</v>
      </c>
    </row>
    <row r="74" spans="1:6" x14ac:dyDescent="0.3">
      <c r="A74">
        <v>0.8</v>
      </c>
      <c r="C74">
        <v>0.1</v>
      </c>
      <c r="D74">
        <f t="shared" si="5"/>
        <v>10</v>
      </c>
      <c r="E74">
        <f t="shared" si="4"/>
        <v>-0.27777777777777785</v>
      </c>
      <c r="F74">
        <f t="shared" si="6"/>
        <v>-27.777777777777786</v>
      </c>
    </row>
    <row r="75" spans="1:6" x14ac:dyDescent="0.3">
      <c r="A75">
        <v>0.9</v>
      </c>
      <c r="C75">
        <v>0.1</v>
      </c>
      <c r="D75">
        <f t="shared" si="5"/>
        <v>10</v>
      </c>
      <c r="E75">
        <f t="shared" si="4"/>
        <v>-0.5263157894736844</v>
      </c>
      <c r="F75">
        <f t="shared" si="6"/>
        <v>-52.631578947368439</v>
      </c>
    </row>
    <row r="76" spans="1:6" x14ac:dyDescent="0.3">
      <c r="A76">
        <v>1</v>
      </c>
      <c r="C76">
        <v>0.1</v>
      </c>
      <c r="D76">
        <f t="shared" si="5"/>
        <v>10</v>
      </c>
      <c r="E76" t="e">
        <f t="shared" si="4"/>
        <v>#DIV/0!</v>
      </c>
      <c r="F76" t="e">
        <f t="shared" si="6"/>
        <v>#DIV/0!</v>
      </c>
    </row>
    <row r="77" spans="1:6" x14ac:dyDescent="0.3">
      <c r="A77">
        <v>1.1000000000000001</v>
      </c>
      <c r="C77">
        <v>0.1</v>
      </c>
      <c r="D77">
        <f t="shared" si="5"/>
        <v>10</v>
      </c>
      <c r="E77">
        <f t="shared" si="4"/>
        <v>0.47619047619047578</v>
      </c>
      <c r="F77">
        <f t="shared" si="6"/>
        <v>47.619047619047578</v>
      </c>
    </row>
    <row r="78" spans="1:6" x14ac:dyDescent="0.3">
      <c r="A78">
        <v>1.2</v>
      </c>
      <c r="C78">
        <v>0.1</v>
      </c>
      <c r="D78">
        <f t="shared" si="5"/>
        <v>10</v>
      </c>
      <c r="E78">
        <f t="shared" si="4"/>
        <v>0.22727272727272729</v>
      </c>
      <c r="F78">
        <f t="shared" si="6"/>
        <v>22.72727272727273</v>
      </c>
    </row>
    <row r="79" spans="1:6" x14ac:dyDescent="0.3">
      <c r="A79">
        <v>1.3</v>
      </c>
      <c r="C79">
        <v>0.1</v>
      </c>
      <c r="D79">
        <f t="shared" si="5"/>
        <v>10</v>
      </c>
      <c r="E79">
        <f t="shared" si="4"/>
        <v>0.14492753623188401</v>
      </c>
      <c r="F79">
        <f t="shared" si="6"/>
        <v>14.492753623188401</v>
      </c>
    </row>
    <row r="80" spans="1:6" x14ac:dyDescent="0.3">
      <c r="A80">
        <v>1.4</v>
      </c>
      <c r="C80">
        <v>0.1</v>
      </c>
      <c r="D80">
        <f t="shared" si="5"/>
        <v>10</v>
      </c>
      <c r="E80">
        <f t="shared" si="4"/>
        <v>0.1041666666666667</v>
      </c>
      <c r="F80">
        <f t="shared" si="6"/>
        <v>10.41666666666667</v>
      </c>
    </row>
    <row r="81" spans="1:6" x14ac:dyDescent="0.3">
      <c r="A81">
        <v>1.5</v>
      </c>
      <c r="C81">
        <v>0.1</v>
      </c>
      <c r="D81">
        <f t="shared" si="5"/>
        <v>10</v>
      </c>
      <c r="E81">
        <f t="shared" si="4"/>
        <v>8.0000000000000016E-2</v>
      </c>
      <c r="F81">
        <f t="shared" si="6"/>
        <v>8.0000000000000018</v>
      </c>
    </row>
    <row r="82" spans="1:6" x14ac:dyDescent="0.3">
      <c r="A82">
        <v>1.6</v>
      </c>
      <c r="C82">
        <v>0.1</v>
      </c>
      <c r="D82">
        <f t="shared" si="5"/>
        <v>10</v>
      </c>
      <c r="E82">
        <f t="shared" si="4"/>
        <v>6.4102564102564083E-2</v>
      </c>
      <c r="F82">
        <f t="shared" si="6"/>
        <v>6.4102564102564079</v>
      </c>
    </row>
    <row r="83" spans="1:6" x14ac:dyDescent="0.3">
      <c r="A83">
        <v>1.7</v>
      </c>
      <c r="C83">
        <v>0.1</v>
      </c>
      <c r="D83">
        <f t="shared" si="5"/>
        <v>10</v>
      </c>
      <c r="E83">
        <f t="shared" si="4"/>
        <v>5.2910052910052921E-2</v>
      </c>
      <c r="F83">
        <f t="shared" si="6"/>
        <v>5.291005291005292</v>
      </c>
    </row>
    <row r="84" spans="1:6" x14ac:dyDescent="0.3">
      <c r="A84">
        <v>1.8</v>
      </c>
      <c r="C84">
        <v>0.1</v>
      </c>
      <c r="D84">
        <f t="shared" si="5"/>
        <v>10</v>
      </c>
      <c r="E84">
        <f t="shared" si="4"/>
        <v>4.4642857142857144E-2</v>
      </c>
      <c r="F84">
        <f t="shared" si="6"/>
        <v>4.4642857142857144</v>
      </c>
    </row>
    <row r="85" spans="1:6" x14ac:dyDescent="0.3">
      <c r="A85">
        <v>1.9</v>
      </c>
      <c r="C85">
        <v>0.1</v>
      </c>
      <c r="D85">
        <f t="shared" si="5"/>
        <v>10</v>
      </c>
      <c r="E85">
        <f t="shared" si="4"/>
        <v>3.8314176245210732E-2</v>
      </c>
      <c r="F85">
        <f t="shared" si="6"/>
        <v>3.8314176245210732</v>
      </c>
    </row>
    <row r="86" spans="1:6" x14ac:dyDescent="0.3">
      <c r="A86">
        <v>2</v>
      </c>
      <c r="C86">
        <v>0.1</v>
      </c>
      <c r="D86">
        <f t="shared" si="5"/>
        <v>10</v>
      </c>
      <c r="E86">
        <f t="shared" si="4"/>
        <v>3.3333333333333333E-2</v>
      </c>
      <c r="F86">
        <f t="shared" si="6"/>
        <v>3.3333333333333335</v>
      </c>
    </row>
    <row r="87" spans="1:6" x14ac:dyDescent="0.3">
      <c r="A87">
        <v>3</v>
      </c>
      <c r="C87">
        <v>0.1</v>
      </c>
      <c r="D87">
        <f t="shared" si="5"/>
        <v>10</v>
      </c>
      <c r="E87">
        <f t="shared" si="4"/>
        <v>1.2500000000000001E-2</v>
      </c>
      <c r="F87">
        <f t="shared" si="6"/>
        <v>1.25</v>
      </c>
    </row>
    <row r="88" spans="1:6" x14ac:dyDescent="0.3">
      <c r="A88">
        <v>4</v>
      </c>
      <c r="C88">
        <v>0.1</v>
      </c>
      <c r="D88">
        <f t="shared" si="5"/>
        <v>10</v>
      </c>
      <c r="E88">
        <f t="shared" si="4"/>
        <v>6.6666666666666671E-3</v>
      </c>
      <c r="F88">
        <f t="shared" si="6"/>
        <v>0.66666666666666674</v>
      </c>
    </row>
    <row r="89" spans="1:6" x14ac:dyDescent="0.3">
      <c r="A89">
        <v>5</v>
      </c>
      <c r="C89">
        <v>0.1</v>
      </c>
      <c r="D89">
        <f t="shared" si="5"/>
        <v>10</v>
      </c>
      <c r="E89">
        <f t="shared" si="4"/>
        <v>4.1666666666666666E-3</v>
      </c>
      <c r="F89">
        <f t="shared" si="6"/>
        <v>0.41666666666666669</v>
      </c>
    </row>
    <row r="90" spans="1:6" x14ac:dyDescent="0.3">
      <c r="A90">
        <v>6</v>
      </c>
      <c r="C90">
        <v>0.1</v>
      </c>
      <c r="D90">
        <f t="shared" si="5"/>
        <v>10</v>
      </c>
      <c r="E90">
        <f t="shared" ref="E90:E125" si="7" xml:space="preserve"> 1/(A90*A90 - 1) * C90</f>
        <v>2.8571428571428571E-3</v>
      </c>
      <c r="F90">
        <f t="shared" si="6"/>
        <v>0.2857142857142857</v>
      </c>
    </row>
    <row r="91" spans="1:6" x14ac:dyDescent="0.3">
      <c r="A91">
        <v>7</v>
      </c>
      <c r="C91">
        <v>0.1</v>
      </c>
      <c r="D91">
        <f t="shared" si="5"/>
        <v>10</v>
      </c>
      <c r="E91">
        <f t="shared" si="7"/>
        <v>2.0833333333333333E-3</v>
      </c>
      <c r="F91">
        <f t="shared" si="6"/>
        <v>0.20833333333333334</v>
      </c>
    </row>
    <row r="92" spans="1:6" x14ac:dyDescent="0.3">
      <c r="A92">
        <v>8</v>
      </c>
      <c r="C92">
        <v>0.1</v>
      </c>
      <c r="D92">
        <f t="shared" si="5"/>
        <v>10</v>
      </c>
      <c r="E92">
        <f t="shared" si="7"/>
        <v>1.5873015873015873E-3</v>
      </c>
      <c r="F92">
        <f t="shared" si="6"/>
        <v>0.15873015873015872</v>
      </c>
    </row>
    <row r="93" spans="1:6" x14ac:dyDescent="0.3">
      <c r="A93">
        <v>9</v>
      </c>
      <c r="C93">
        <v>0.1</v>
      </c>
      <c r="D93">
        <f t="shared" si="5"/>
        <v>10</v>
      </c>
      <c r="E93">
        <f t="shared" si="7"/>
        <v>1.2500000000000002E-3</v>
      </c>
      <c r="F93">
        <f t="shared" si="6"/>
        <v>0.12500000000000003</v>
      </c>
    </row>
    <row r="94" spans="1:6" x14ac:dyDescent="0.3">
      <c r="A94">
        <v>10</v>
      </c>
      <c r="C94">
        <v>0.1</v>
      </c>
      <c r="D94">
        <f t="shared" si="5"/>
        <v>10</v>
      </c>
      <c r="E94">
        <f t="shared" si="7"/>
        <v>1.0101010101010103E-3</v>
      </c>
      <c r="F94">
        <f t="shared" si="6"/>
        <v>0.10101010101010104</v>
      </c>
    </row>
    <row r="95" spans="1:6" x14ac:dyDescent="0.3">
      <c r="A95">
        <v>0.01</v>
      </c>
      <c r="C95">
        <v>1</v>
      </c>
      <c r="D95">
        <f t="shared" si="5"/>
        <v>100</v>
      </c>
      <c r="E95">
        <f t="shared" si="7"/>
        <v>-1.000100010001</v>
      </c>
      <c r="F95">
        <f t="shared" si="6"/>
        <v>-100.0100010001</v>
      </c>
    </row>
    <row r="96" spans="1:6" x14ac:dyDescent="0.3">
      <c r="A96">
        <v>0.02</v>
      </c>
      <c r="C96">
        <v>1</v>
      </c>
      <c r="D96">
        <f t="shared" si="5"/>
        <v>100</v>
      </c>
      <c r="E96">
        <f t="shared" si="7"/>
        <v>-1.0004001600640255</v>
      </c>
      <c r="F96">
        <f t="shared" si="6"/>
        <v>-100.04001600640255</v>
      </c>
    </row>
    <row r="97" spans="1:6" x14ac:dyDescent="0.3">
      <c r="A97">
        <v>0.05</v>
      </c>
      <c r="C97">
        <v>1</v>
      </c>
      <c r="D97">
        <f t="shared" si="5"/>
        <v>100</v>
      </c>
      <c r="E97">
        <f t="shared" si="7"/>
        <v>-1.0025062656641603</v>
      </c>
      <c r="F97">
        <f t="shared" si="6"/>
        <v>-100.25062656641603</v>
      </c>
    </row>
    <row r="98" spans="1:6" x14ac:dyDescent="0.3">
      <c r="A98">
        <v>0.1</v>
      </c>
      <c r="C98">
        <v>1</v>
      </c>
      <c r="D98">
        <f t="shared" si="5"/>
        <v>100</v>
      </c>
      <c r="E98">
        <f t="shared" si="7"/>
        <v>-1.0101010101010102</v>
      </c>
      <c r="F98">
        <f t="shared" si="6"/>
        <v>-101.01010101010101</v>
      </c>
    </row>
    <row r="99" spans="1:6" x14ac:dyDescent="0.3">
      <c r="A99">
        <v>0.2</v>
      </c>
      <c r="C99">
        <v>1</v>
      </c>
      <c r="D99">
        <f t="shared" si="5"/>
        <v>100</v>
      </c>
      <c r="E99">
        <f t="shared" si="7"/>
        <v>-1.0416666666666667</v>
      </c>
      <c r="F99">
        <f t="shared" si="6"/>
        <v>-104.16666666666667</v>
      </c>
    </row>
    <row r="100" spans="1:6" x14ac:dyDescent="0.3">
      <c r="A100">
        <v>0.3</v>
      </c>
      <c r="C100">
        <v>1</v>
      </c>
      <c r="D100">
        <f t="shared" si="5"/>
        <v>100</v>
      </c>
      <c r="E100">
        <f t="shared" si="7"/>
        <v>-1.0989010989010988</v>
      </c>
      <c r="F100">
        <f t="shared" si="6"/>
        <v>-109.89010989010988</v>
      </c>
    </row>
    <row r="101" spans="1:6" x14ac:dyDescent="0.3">
      <c r="A101">
        <v>0.4</v>
      </c>
      <c r="C101">
        <v>1</v>
      </c>
      <c r="D101">
        <f t="shared" si="5"/>
        <v>100</v>
      </c>
      <c r="E101">
        <f t="shared" si="7"/>
        <v>-1.1904761904761905</v>
      </c>
      <c r="F101">
        <f t="shared" si="6"/>
        <v>-119.04761904761905</v>
      </c>
    </row>
    <row r="102" spans="1:6" x14ac:dyDescent="0.3">
      <c r="A102">
        <v>0.5</v>
      </c>
      <c r="C102">
        <v>1</v>
      </c>
      <c r="D102">
        <f t="shared" si="5"/>
        <v>100</v>
      </c>
      <c r="E102">
        <f t="shared" si="7"/>
        <v>-1.3333333333333333</v>
      </c>
      <c r="F102">
        <f t="shared" si="6"/>
        <v>-133.33333333333331</v>
      </c>
    </row>
    <row r="103" spans="1:6" x14ac:dyDescent="0.3">
      <c r="A103">
        <v>0.6</v>
      </c>
      <c r="C103">
        <v>1</v>
      </c>
      <c r="D103">
        <f t="shared" si="5"/>
        <v>100</v>
      </c>
      <c r="E103">
        <f t="shared" si="7"/>
        <v>-1.5625</v>
      </c>
      <c r="F103">
        <f t="shared" si="6"/>
        <v>-156.25</v>
      </c>
    </row>
    <row r="104" spans="1:6" x14ac:dyDescent="0.3">
      <c r="A104">
        <v>0.7</v>
      </c>
      <c r="C104">
        <v>1</v>
      </c>
      <c r="D104">
        <f t="shared" si="5"/>
        <v>100</v>
      </c>
      <c r="E104">
        <f t="shared" si="7"/>
        <v>-1.9607843137254901</v>
      </c>
      <c r="F104">
        <f t="shared" si="6"/>
        <v>-196.07843137254901</v>
      </c>
    </row>
    <row r="105" spans="1:6" x14ac:dyDescent="0.3">
      <c r="A105">
        <v>0.8</v>
      </c>
      <c r="C105">
        <v>1</v>
      </c>
      <c r="D105">
        <f t="shared" si="5"/>
        <v>100</v>
      </c>
      <c r="E105">
        <f t="shared" si="7"/>
        <v>-2.7777777777777786</v>
      </c>
      <c r="F105">
        <f t="shared" si="6"/>
        <v>-277.77777777777783</v>
      </c>
    </row>
    <row r="106" spans="1:6" x14ac:dyDescent="0.3">
      <c r="A106">
        <v>0.9</v>
      </c>
      <c r="C106">
        <v>1</v>
      </c>
      <c r="D106">
        <f t="shared" si="5"/>
        <v>100</v>
      </c>
      <c r="E106">
        <f t="shared" si="7"/>
        <v>-5.2631578947368434</v>
      </c>
      <c r="F106">
        <f t="shared" si="6"/>
        <v>-526.31578947368439</v>
      </c>
    </row>
    <row r="107" spans="1:6" x14ac:dyDescent="0.3">
      <c r="A107">
        <v>1</v>
      </c>
      <c r="C107">
        <v>1</v>
      </c>
      <c r="D107">
        <f t="shared" si="5"/>
        <v>100</v>
      </c>
      <c r="E107" t="e">
        <f t="shared" si="7"/>
        <v>#DIV/0!</v>
      </c>
      <c r="F107" t="e">
        <f t="shared" si="6"/>
        <v>#DIV/0!</v>
      </c>
    </row>
    <row r="108" spans="1:6" x14ac:dyDescent="0.3">
      <c r="A108">
        <v>1.1000000000000001</v>
      </c>
      <c r="C108">
        <v>1</v>
      </c>
      <c r="D108">
        <f t="shared" si="5"/>
        <v>100</v>
      </c>
      <c r="E108">
        <f t="shared" si="7"/>
        <v>4.7619047619047574</v>
      </c>
      <c r="F108">
        <f t="shared" si="6"/>
        <v>476.19047619047575</v>
      </c>
    </row>
    <row r="109" spans="1:6" x14ac:dyDescent="0.3">
      <c r="A109">
        <v>1.2</v>
      </c>
      <c r="C109">
        <v>1</v>
      </c>
      <c r="D109">
        <f t="shared" si="5"/>
        <v>100</v>
      </c>
      <c r="E109">
        <f t="shared" si="7"/>
        <v>2.2727272727272729</v>
      </c>
      <c r="F109">
        <f t="shared" si="6"/>
        <v>227.27272727272728</v>
      </c>
    </row>
    <row r="110" spans="1:6" x14ac:dyDescent="0.3">
      <c r="A110">
        <v>1.3</v>
      </c>
      <c r="C110">
        <v>1</v>
      </c>
      <c r="D110">
        <f t="shared" si="5"/>
        <v>100</v>
      </c>
      <c r="E110">
        <f t="shared" si="7"/>
        <v>1.4492753623188401</v>
      </c>
      <c r="F110">
        <f t="shared" si="6"/>
        <v>144.92753623188401</v>
      </c>
    </row>
    <row r="111" spans="1:6" x14ac:dyDescent="0.3">
      <c r="A111">
        <v>1.4</v>
      </c>
      <c r="C111">
        <v>1</v>
      </c>
      <c r="D111">
        <f t="shared" si="5"/>
        <v>100</v>
      </c>
      <c r="E111">
        <f t="shared" si="7"/>
        <v>1.041666666666667</v>
      </c>
      <c r="F111">
        <f t="shared" si="6"/>
        <v>104.1666666666667</v>
      </c>
    </row>
    <row r="112" spans="1:6" x14ac:dyDescent="0.3">
      <c r="A112">
        <v>1.5</v>
      </c>
      <c r="C112">
        <v>1</v>
      </c>
      <c r="D112">
        <f t="shared" si="5"/>
        <v>100</v>
      </c>
      <c r="E112">
        <f t="shared" si="7"/>
        <v>0.8</v>
      </c>
      <c r="F112">
        <f t="shared" si="6"/>
        <v>80</v>
      </c>
    </row>
    <row r="113" spans="1:6" x14ac:dyDescent="0.3">
      <c r="A113">
        <v>1.6</v>
      </c>
      <c r="C113">
        <v>1</v>
      </c>
      <c r="D113">
        <f t="shared" si="5"/>
        <v>100</v>
      </c>
      <c r="E113">
        <f t="shared" si="7"/>
        <v>0.64102564102564086</v>
      </c>
      <c r="F113">
        <f t="shared" si="6"/>
        <v>64.102564102564088</v>
      </c>
    </row>
    <row r="114" spans="1:6" x14ac:dyDescent="0.3">
      <c r="A114">
        <v>1.7</v>
      </c>
      <c r="C114">
        <v>1</v>
      </c>
      <c r="D114">
        <f t="shared" si="5"/>
        <v>100</v>
      </c>
      <c r="E114">
        <f t="shared" si="7"/>
        <v>0.52910052910052918</v>
      </c>
      <c r="F114">
        <f t="shared" si="6"/>
        <v>52.910052910052919</v>
      </c>
    </row>
    <row r="115" spans="1:6" x14ac:dyDescent="0.3">
      <c r="A115">
        <v>1.8</v>
      </c>
      <c r="C115">
        <v>1</v>
      </c>
      <c r="D115">
        <f t="shared" si="5"/>
        <v>100</v>
      </c>
      <c r="E115">
        <f t="shared" si="7"/>
        <v>0.4464285714285714</v>
      </c>
      <c r="F115">
        <f t="shared" si="6"/>
        <v>44.642857142857139</v>
      </c>
    </row>
    <row r="116" spans="1:6" x14ac:dyDescent="0.3">
      <c r="A116">
        <v>1.9</v>
      </c>
      <c r="C116">
        <v>1</v>
      </c>
      <c r="D116">
        <f t="shared" si="5"/>
        <v>100</v>
      </c>
      <c r="E116">
        <f t="shared" si="7"/>
        <v>0.38314176245210729</v>
      </c>
      <c r="F116">
        <f t="shared" si="6"/>
        <v>38.314176245210732</v>
      </c>
    </row>
    <row r="117" spans="1:6" x14ac:dyDescent="0.3">
      <c r="A117">
        <v>2</v>
      </c>
      <c r="C117">
        <v>1</v>
      </c>
      <c r="D117">
        <f t="shared" si="5"/>
        <v>100</v>
      </c>
      <c r="E117">
        <f t="shared" si="7"/>
        <v>0.33333333333333331</v>
      </c>
      <c r="F117">
        <f t="shared" si="6"/>
        <v>33.333333333333329</v>
      </c>
    </row>
    <row r="118" spans="1:6" x14ac:dyDescent="0.3">
      <c r="A118">
        <v>3</v>
      </c>
      <c r="C118">
        <v>1</v>
      </c>
      <c r="D118">
        <f t="shared" si="5"/>
        <v>100</v>
      </c>
      <c r="E118">
        <f t="shared" si="7"/>
        <v>0.125</v>
      </c>
      <c r="F118">
        <f t="shared" si="6"/>
        <v>12.5</v>
      </c>
    </row>
    <row r="119" spans="1:6" x14ac:dyDescent="0.3">
      <c r="A119">
        <v>4</v>
      </c>
      <c r="C119">
        <v>1</v>
      </c>
      <c r="D119">
        <f t="shared" si="5"/>
        <v>100</v>
      </c>
      <c r="E119">
        <f t="shared" si="7"/>
        <v>6.6666666666666666E-2</v>
      </c>
      <c r="F119">
        <f t="shared" si="6"/>
        <v>6.666666666666667</v>
      </c>
    </row>
    <row r="120" spans="1:6" x14ac:dyDescent="0.3">
      <c r="A120">
        <v>5</v>
      </c>
      <c r="C120">
        <v>1</v>
      </c>
      <c r="D120">
        <f t="shared" si="5"/>
        <v>100</v>
      </c>
      <c r="E120">
        <f t="shared" si="7"/>
        <v>4.1666666666666664E-2</v>
      </c>
      <c r="F120">
        <f t="shared" si="6"/>
        <v>4.1666666666666661</v>
      </c>
    </row>
    <row r="121" spans="1:6" x14ac:dyDescent="0.3">
      <c r="A121">
        <v>6</v>
      </c>
      <c r="C121">
        <v>1</v>
      </c>
      <c r="D121">
        <f t="shared" si="5"/>
        <v>100</v>
      </c>
      <c r="E121">
        <f t="shared" si="7"/>
        <v>2.8571428571428571E-2</v>
      </c>
      <c r="F121">
        <f t="shared" si="6"/>
        <v>2.8571428571428572</v>
      </c>
    </row>
    <row r="122" spans="1:6" x14ac:dyDescent="0.3">
      <c r="A122">
        <v>7</v>
      </c>
      <c r="C122">
        <v>1</v>
      </c>
      <c r="D122">
        <f t="shared" si="5"/>
        <v>100</v>
      </c>
      <c r="E122">
        <f t="shared" si="7"/>
        <v>2.0833333333333332E-2</v>
      </c>
      <c r="F122">
        <f t="shared" si="6"/>
        <v>2.083333333333333</v>
      </c>
    </row>
    <row r="123" spans="1:6" x14ac:dyDescent="0.3">
      <c r="A123">
        <v>8</v>
      </c>
      <c r="C123">
        <v>1</v>
      </c>
      <c r="D123">
        <f t="shared" si="5"/>
        <v>100</v>
      </c>
      <c r="E123">
        <f t="shared" si="7"/>
        <v>1.5873015873015872E-2</v>
      </c>
      <c r="F123">
        <f t="shared" si="6"/>
        <v>1.5873015873015872</v>
      </c>
    </row>
    <row r="124" spans="1:6" x14ac:dyDescent="0.3">
      <c r="A124">
        <v>9</v>
      </c>
      <c r="C124">
        <v>1</v>
      </c>
      <c r="D124">
        <f t="shared" si="5"/>
        <v>100</v>
      </c>
      <c r="E124">
        <f t="shared" si="7"/>
        <v>1.2500000000000001E-2</v>
      </c>
      <c r="F124">
        <f t="shared" si="6"/>
        <v>1.25</v>
      </c>
    </row>
    <row r="125" spans="1:6" x14ac:dyDescent="0.3">
      <c r="A125">
        <v>10</v>
      </c>
      <c r="C125">
        <v>1</v>
      </c>
      <c r="D125">
        <f t="shared" si="5"/>
        <v>100</v>
      </c>
      <c r="E125">
        <f t="shared" si="7"/>
        <v>1.0101010101010102E-2</v>
      </c>
      <c r="F125">
        <f t="shared" si="6"/>
        <v>1.0101010101010102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DE17-A23B-4B03-8EA9-E028320009A4}">
  <dimension ref="A1:C14"/>
  <sheetViews>
    <sheetView tabSelected="1" workbookViewId="0">
      <selection activeCell="S16" sqref="S16"/>
    </sheetView>
  </sheetViews>
  <sheetFormatPr defaultRowHeight="14.4" x14ac:dyDescent="0.3"/>
  <sheetData>
    <row r="1" spans="1:3" s="1" customFormat="1" x14ac:dyDescent="0.3">
      <c r="A1" s="1" t="s">
        <v>5</v>
      </c>
      <c r="B1" s="1" t="s">
        <v>0</v>
      </c>
      <c r="C1" s="1" t="s">
        <v>6</v>
      </c>
    </row>
    <row r="2" spans="1:3" x14ac:dyDescent="0.3">
      <c r="A2">
        <v>1.4</v>
      </c>
      <c r="B2">
        <v>0.01</v>
      </c>
      <c r="C2">
        <f t="shared" ref="C2:C22" si="0">SQRT(1/(B2*B2)*POWER((2/($A$2+1)*(1 +($A$2-1)*B2*B2/2)), ($A$2+1)/($A$2-1)))</f>
        <v>57.873842662037482</v>
      </c>
    </row>
    <row r="3" spans="1:3" x14ac:dyDescent="0.3">
      <c r="B3">
        <v>0.02</v>
      </c>
      <c r="C3">
        <f t="shared" si="0"/>
        <v>28.942130185200014</v>
      </c>
    </row>
    <row r="4" spans="1:3" x14ac:dyDescent="0.3">
      <c r="B4">
        <v>0.05</v>
      </c>
      <c r="C4">
        <f t="shared" si="0"/>
        <v>11.591443867187499</v>
      </c>
    </row>
    <row r="5" spans="1:3" x14ac:dyDescent="0.3">
      <c r="B5">
        <v>0.1</v>
      </c>
      <c r="C5">
        <f t="shared" si="0"/>
        <v>5.8218287500000008</v>
      </c>
    </row>
    <row r="6" spans="1:3" x14ac:dyDescent="0.3">
      <c r="B6">
        <v>0.2</v>
      </c>
      <c r="C6">
        <f t="shared" si="0"/>
        <v>2.9635199999999999</v>
      </c>
    </row>
    <row r="7" spans="1:3" x14ac:dyDescent="0.3">
      <c r="B7">
        <v>0.5</v>
      </c>
      <c r="C7">
        <f t="shared" si="0"/>
        <v>1.3398437500000004</v>
      </c>
    </row>
    <row r="8" spans="1:3" x14ac:dyDescent="0.3">
      <c r="B8">
        <v>1</v>
      </c>
      <c r="C8">
        <f>SQRT(1/(B8*B8)*POWER((2/($A$2+1)*(1 +($A$2-1)*B8*B8/2)), ($A$2+1)/($A$2-1)))</f>
        <v>1</v>
      </c>
    </row>
    <row r="9" spans="1:3" x14ac:dyDescent="0.3">
      <c r="B9">
        <v>2</v>
      </c>
      <c r="C9">
        <f t="shared" si="0"/>
        <v>1.6875000000000004</v>
      </c>
    </row>
    <row r="10" spans="1:3" x14ac:dyDescent="0.3">
      <c r="B10">
        <v>3</v>
      </c>
      <c r="C10">
        <f t="shared" si="0"/>
        <v>4.2345679012345698</v>
      </c>
    </row>
    <row r="11" spans="1:3" x14ac:dyDescent="0.3">
      <c r="B11">
        <v>4</v>
      </c>
      <c r="C11">
        <f t="shared" si="0"/>
        <v>10.718750000000002</v>
      </c>
    </row>
    <row r="12" spans="1:3" x14ac:dyDescent="0.3">
      <c r="B12">
        <v>5</v>
      </c>
      <c r="C12">
        <f t="shared" si="0"/>
        <v>25.000000000000011</v>
      </c>
    </row>
    <row r="13" spans="1:3" x14ac:dyDescent="0.3">
      <c r="B13">
        <v>6</v>
      </c>
      <c r="C13">
        <f t="shared" si="0"/>
        <v>53.179783950617335</v>
      </c>
    </row>
    <row r="14" spans="1:3" x14ac:dyDescent="0.3">
      <c r="B14">
        <v>7</v>
      </c>
      <c r="C14">
        <f t="shared" si="0"/>
        <v>104.14285714285715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Shreshtha Yaduka</dc:creator>
  <cp:lastModifiedBy>Shreshtha Yaduka</cp:lastModifiedBy>
  <dcterms:created xsi:type="dcterms:W3CDTF">2026-10-04T13:36:44Z</dcterms:created>
  <dcterms:modified xsi:type="dcterms:W3CDTF">2026-10-04T15:01:51Z</dcterms:modified>
</cp:coreProperties>
</file>